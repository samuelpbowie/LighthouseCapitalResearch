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\Documents\LighthouseCapitalResearch\model_files\"/>
    </mc:Choice>
  </mc:AlternateContent>
  <xr:revisionPtr revIDLastSave="0" documentId="13_ncr:1_{DBFAC3DB-FC37-49C2-8014-CADD3A7043DD}" xr6:coauthVersionLast="47" xr6:coauthVersionMax="47" xr10:uidLastSave="{00000000-0000-0000-0000-000000000000}"/>
  <bookViews>
    <workbookView xWindow="28695" yWindow="0" windowWidth="14610" windowHeight="15585" tabRatio="829" xr2:uid="{FF5F0AA0-DEF7-4E17-845D-4EDC7091CBE1}"/>
  </bookViews>
  <sheets>
    <sheet name="Evaluation" sheetId="38" r:id="rId1"/>
    <sheet name="Summary" sheetId="18" r:id="rId2"/>
    <sheet name="Consolidated Model" sheetId="17" r:id="rId3"/>
    <sheet name="Consolidated Eval." sheetId="45" r:id="rId4"/>
    <sheet name="Model Base" sheetId="42" r:id="rId5"/>
    <sheet name="Model Pess." sheetId="43" r:id="rId6"/>
    <sheet name="Model Opt." sheetId="44" r:id="rId7"/>
    <sheet name="Consolidated Output" sheetId="41" r:id="rId8"/>
    <sheet name="Eval Comps" sheetId="39" r:id="rId9"/>
    <sheet name="DCF" sheetId="40" r:id="rId10"/>
    <sheet name="EBITDA Sensitivity" sheetId="36" r:id="rId11"/>
    <sheet name="Scenario Outputs" sheetId="37" r:id="rId12"/>
    <sheet name="Scenario Drivers" sheetId="35" r:id="rId13"/>
    <sheet name="Income Statement Drivers" sheetId="19" r:id="rId14"/>
    <sheet name="Balance Sheet Drivers" sheetId="21" r:id="rId15"/>
    <sheet name="Cash Flow Drivers" sheetId="28" r:id="rId16"/>
    <sheet name="Condensed Stockholders Equity" sheetId="34" r:id="rId17"/>
    <sheet name="Options Proceeds Schedule" sheetId="30" r:id="rId18"/>
    <sheet name="Material Cash Requirements" sheetId="22" r:id="rId19"/>
    <sheet name="Lease Liability Schedule" sheetId="29" r:id="rId20"/>
    <sheet name="INCOME_STATEMENT" sheetId="23" r:id="rId21"/>
    <sheet name="BALANCE_SHEET" sheetId="24" r:id="rId22"/>
    <sheet name="CASH_FLOW" sheetId="25" r:id="rId23"/>
    <sheet name="AMORT_SCHED" sheetId="26" r:id="rId24"/>
    <sheet name="STOCKHOLDERS_EQUITY" sheetId="27" r:id="rId25"/>
  </sheets>
  <definedNames>
    <definedName name="_xleta.MATCH" hidden="1" xlm="1">#NAME?</definedName>
    <definedName name="_xleta.MIN" hidden="1" xlm="1">#NAME?</definedName>
    <definedName name="_xleta.XLOOKUP" hidden="1" xlm="1">#NAME?</definedName>
    <definedName name="_xleta.YEAR" hidden="1" xlm="1">#NAME?</definedName>
    <definedName name="DCF_TGR">DCF!$K$8:$K$16</definedName>
    <definedName name="DCF_WACC">DCF!$L$7:$T$7</definedName>
    <definedName name="Scenarios">'Scenario Drivers'!$B$5:$B$7</definedName>
    <definedName name="SelectedScenario">Summary!$C$4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45" l="1"/>
  <c r="D17" i="45"/>
  <c r="E16" i="45"/>
  <c r="D16" i="45"/>
  <c r="E15" i="45"/>
  <c r="D15" i="45"/>
  <c r="E14" i="45"/>
  <c r="D14" i="45"/>
  <c r="E13" i="45"/>
  <c r="D13" i="45"/>
  <c r="C17" i="45"/>
  <c r="C16" i="45"/>
  <c r="C15" i="45"/>
  <c r="C14" i="45"/>
  <c r="C13" i="45"/>
  <c r="A17" i="45"/>
  <c r="A16" i="45"/>
  <c r="A15" i="45"/>
  <c r="A14" i="45"/>
  <c r="A13" i="45"/>
  <c r="E12" i="45"/>
  <c r="D12" i="45"/>
  <c r="C12" i="45"/>
  <c r="E11" i="45"/>
  <c r="D11" i="45"/>
  <c r="C11" i="45"/>
  <c r="E10" i="45"/>
  <c r="D10" i="45"/>
  <c r="C10" i="45"/>
  <c r="E9" i="45"/>
  <c r="D9" i="45"/>
  <c r="C9" i="45"/>
  <c r="E8" i="45"/>
  <c r="D8" i="45"/>
  <c r="C8" i="45"/>
  <c r="E7" i="45"/>
  <c r="D7" i="45"/>
  <c r="C7" i="45"/>
  <c r="E6" i="45"/>
  <c r="D6" i="45"/>
  <c r="C6" i="45"/>
  <c r="E5" i="45"/>
  <c r="D5" i="45"/>
  <c r="C5" i="45"/>
  <c r="A12" i="45"/>
  <c r="A11" i="45"/>
  <c r="A10" i="45"/>
  <c r="A9" i="45"/>
  <c r="A8" i="45"/>
  <c r="A7" i="45"/>
  <c r="A6" i="45"/>
  <c r="A5" i="45"/>
  <c r="E4" i="45"/>
  <c r="D4" i="45"/>
  <c r="C4" i="45"/>
  <c r="E3" i="45"/>
  <c r="D3" i="45"/>
  <c r="E2" i="45"/>
  <c r="D2" i="45"/>
  <c r="C3" i="45"/>
  <c r="C2" i="45"/>
  <c r="K31" i="41" a="1"/>
  <c r="K31" i="41" s="1"/>
  <c r="J31" i="41"/>
  <c r="J31" i="41" a="1"/>
  <c r="I31" i="41"/>
  <c r="I31" i="41" a="1"/>
  <c r="H31" i="41" a="1"/>
  <c r="H31" i="41" s="1"/>
  <c r="G31" i="41" a="1"/>
  <c r="G31" i="41" s="1"/>
  <c r="F31" i="41" a="1"/>
  <c r="F31" i="41" s="1"/>
  <c r="E31" i="41" a="1"/>
  <c r="E31" i="41" s="1"/>
  <c r="D31" i="41"/>
  <c r="D31" i="41" a="1"/>
  <c r="C31" i="41"/>
  <c r="C31" i="41" a="1"/>
  <c r="K27" i="41" a="1"/>
  <c r="K27" i="41" s="1"/>
  <c r="J27" i="41" a="1"/>
  <c r="J27" i="41" s="1"/>
  <c r="I27" i="41" a="1"/>
  <c r="I27" i="41" s="1"/>
  <c r="H27" i="41" a="1"/>
  <c r="H27" i="41" s="1"/>
  <c r="G27" i="41" a="1"/>
  <c r="G27" i="41" s="1"/>
  <c r="F27" i="41" a="1"/>
  <c r="F27" i="41" s="1"/>
  <c r="E27" i="41" a="1"/>
  <c r="E27" i="41" s="1"/>
  <c r="D27" i="41" a="1"/>
  <c r="D27" i="41" s="1"/>
  <c r="C27" i="41" a="1"/>
  <c r="C27" i="41" s="1"/>
  <c r="K23" i="41"/>
  <c r="K23" i="41" a="1"/>
  <c r="J23" i="41" a="1"/>
  <c r="J23" i="41" s="1"/>
  <c r="I23" i="41" a="1"/>
  <c r="I23" i="41" s="1"/>
  <c r="H23" i="41" a="1"/>
  <c r="H23" i="41" s="1"/>
  <c r="G23" i="41" a="1"/>
  <c r="G23" i="41" s="1"/>
  <c r="F23" i="41" a="1"/>
  <c r="F23" i="41" s="1"/>
  <c r="E23" i="41"/>
  <c r="E23" i="41" a="1"/>
  <c r="D23" i="41" a="1"/>
  <c r="D23" i="41" s="1"/>
  <c r="C23" i="41" a="1"/>
  <c r="C23" i="41" s="1"/>
  <c r="K19" i="41" a="1"/>
  <c r="K19" i="41" s="1"/>
  <c r="J19" i="41" a="1"/>
  <c r="J19" i="41" s="1"/>
  <c r="I19" i="41" a="1"/>
  <c r="I19" i="41" s="1"/>
  <c r="H19" i="41" a="1"/>
  <c r="H19" i="41" s="1"/>
  <c r="G19" i="41" a="1"/>
  <c r="G19" i="41" s="1"/>
  <c r="F19" i="41" a="1"/>
  <c r="F19" i="41" s="1"/>
  <c r="E19" i="41" a="1"/>
  <c r="E19" i="41" s="1"/>
  <c r="D19" i="41" a="1"/>
  <c r="D19" i="41" s="1"/>
  <c r="C19" i="41" a="1"/>
  <c r="C19" i="41" s="1"/>
  <c r="K15" i="41" a="1"/>
  <c r="K15" i="41" s="1"/>
  <c r="J15" i="41" a="1"/>
  <c r="J15" i="41" s="1"/>
  <c r="I15" i="41" a="1"/>
  <c r="I15" i="41" s="1"/>
  <c r="H15" i="41" a="1"/>
  <c r="H15" i="41" s="1"/>
  <c r="G15" i="41" a="1"/>
  <c r="G15" i="41" s="1"/>
  <c r="F15" i="41" a="1"/>
  <c r="F15" i="41" s="1"/>
  <c r="E15" i="41" a="1"/>
  <c r="E15" i="41" s="1"/>
  <c r="D15" i="41" a="1"/>
  <c r="D15" i="41" s="1"/>
  <c r="C15" i="41" a="1"/>
  <c r="C15" i="41" s="1"/>
  <c r="K11" i="41" a="1"/>
  <c r="K11" i="41" s="1"/>
  <c r="J11" i="41" a="1"/>
  <c r="J11" i="41" s="1"/>
  <c r="I11" i="41" a="1"/>
  <c r="I11" i="41" s="1"/>
  <c r="H11" i="41" a="1"/>
  <c r="H11" i="41" s="1"/>
  <c r="G11" i="41" a="1"/>
  <c r="G11" i="41" s="1"/>
  <c r="F11" i="41" a="1"/>
  <c r="F11" i="41" s="1"/>
  <c r="E11" i="41" a="1"/>
  <c r="E11" i="41" s="1"/>
  <c r="D11" i="41" a="1"/>
  <c r="D11" i="41" s="1"/>
  <c r="C11" i="41" a="1"/>
  <c r="C11" i="41" s="1"/>
  <c r="K7" i="41"/>
  <c r="K7" i="41" a="1"/>
  <c r="J7" i="41" a="1"/>
  <c r="J7" i="41" s="1"/>
  <c r="I7" i="41" a="1"/>
  <c r="I7" i="41" s="1"/>
  <c r="H7" i="41" a="1"/>
  <c r="H7" i="41" s="1"/>
  <c r="G7" i="41" a="1"/>
  <c r="G7" i="41" s="1"/>
  <c r="F7" i="41" a="1"/>
  <c r="F7" i="41" s="1"/>
  <c r="E7" i="41"/>
  <c r="E7" i="41" a="1"/>
  <c r="D7" i="41" a="1"/>
  <c r="D7" i="41" s="1"/>
  <c r="C7" i="41" a="1"/>
  <c r="C7" i="41" s="1"/>
  <c r="K3" i="41"/>
  <c r="K3" i="41" a="1"/>
  <c r="J3" i="41" a="1"/>
  <c r="J3" i="41" s="1"/>
  <c r="I3" i="41" a="1"/>
  <c r="I3" i="41" s="1"/>
  <c r="H3" i="41" a="1"/>
  <c r="H3" i="41" s="1"/>
  <c r="G3" i="41" a="1"/>
  <c r="G3" i="41" s="1"/>
  <c r="F3" i="41" a="1"/>
  <c r="F3" i="41" s="1"/>
  <c r="E3" i="41"/>
  <c r="E3" i="41" a="1"/>
  <c r="D3" i="41" a="1"/>
  <c r="D3" i="41" s="1"/>
  <c r="C3" i="41" a="1"/>
  <c r="C3" i="41"/>
  <c r="C4" i="41"/>
  <c r="D4" i="41"/>
  <c r="E4" i="41"/>
  <c r="F4" i="41"/>
  <c r="G4" i="41"/>
  <c r="H4" i="41"/>
  <c r="I4" i="41"/>
  <c r="J4" i="41"/>
  <c r="K4" i="41"/>
  <c r="B34" i="41" a="1"/>
  <c r="B34" i="41" s="1"/>
  <c r="B33" i="41" a="1"/>
  <c r="B33" i="41" s="1"/>
  <c r="B32" i="41" a="1"/>
  <c r="B32" i="41" s="1"/>
  <c r="B30" i="41" a="1"/>
  <c r="B30" i="41" s="1"/>
  <c r="B29" i="41" a="1"/>
  <c r="B29" i="41" s="1"/>
  <c r="B28" i="41" a="1"/>
  <c r="B28" i="41" s="1"/>
  <c r="B26" i="41" a="1"/>
  <c r="B26" i="41" s="1"/>
  <c r="B25" i="41" a="1"/>
  <c r="B25" i="41" s="1"/>
  <c r="B24" i="41" a="1"/>
  <c r="B24" i="41" s="1"/>
  <c r="B22" i="41" a="1"/>
  <c r="B22" i="41" s="1"/>
  <c r="B21" i="41" a="1"/>
  <c r="B21" i="41" s="1"/>
  <c r="B20" i="41" a="1"/>
  <c r="B20" i="41" s="1"/>
  <c r="B18" i="41" a="1"/>
  <c r="B18" i="41" s="1"/>
  <c r="B17" i="41" a="1"/>
  <c r="B17" i="41" s="1"/>
  <c r="B16" i="41" a="1"/>
  <c r="B16" i="41" s="1"/>
  <c r="B14" i="41" a="1"/>
  <c r="B14" i="41" s="1"/>
  <c r="B13" i="41" a="1"/>
  <c r="B13" i="41" s="1"/>
  <c r="B12" i="41" a="1"/>
  <c r="B12" i="41" s="1"/>
  <c r="B10" i="41" a="1"/>
  <c r="B10" i="41" s="1"/>
  <c r="B9" i="41" a="1"/>
  <c r="B9" i="41" s="1"/>
  <c r="B8" i="41" a="1"/>
  <c r="B8" i="41" s="1"/>
  <c r="B4" i="41" a="1"/>
  <c r="B4" i="41" s="1"/>
  <c r="B5" i="41" a="1"/>
  <c r="B5" i="41" s="1"/>
  <c r="B6" i="41" a="1"/>
  <c r="B6" i="41" s="1"/>
  <c r="A34" i="41" a="1"/>
  <c r="A34" i="41" s="1"/>
  <c r="A33" i="41" a="1"/>
  <c r="A33" i="41" s="1"/>
  <c r="A32" i="41" a="1"/>
  <c r="A32" i="41" s="1"/>
  <c r="A31" i="41" a="1"/>
  <c r="A31" i="41" s="1"/>
  <c r="A30" i="41"/>
  <c r="A30" i="41" a="1"/>
  <c r="A29" i="41" a="1"/>
  <c r="A29" i="41" s="1"/>
  <c r="A28" i="41" a="1"/>
  <c r="A28" i="41" s="1"/>
  <c r="A27" i="41" a="1"/>
  <c r="A27" i="41" s="1"/>
  <c r="A26" i="41" a="1"/>
  <c r="A26" i="41" s="1"/>
  <c r="A25" i="41" a="1"/>
  <c r="A25" i="41" s="1"/>
  <c r="A24" i="41" a="1"/>
  <c r="A24" i="41" s="1"/>
  <c r="A23" i="41" a="1"/>
  <c r="A23" i="41" s="1"/>
  <c r="A22" i="41" a="1"/>
  <c r="A22" i="41" s="1"/>
  <c r="A21" i="41" a="1"/>
  <c r="A21" i="41" s="1"/>
  <c r="A20" i="41" a="1"/>
  <c r="A20" i="41" s="1"/>
  <c r="A19" i="41" a="1"/>
  <c r="A19" i="41" s="1"/>
  <c r="A18" i="41" a="1"/>
  <c r="A18" i="41" s="1"/>
  <c r="A17" i="41" a="1"/>
  <c r="A17" i="41" s="1"/>
  <c r="A16" i="41" a="1"/>
  <c r="A16" i="41" s="1"/>
  <c r="A15" i="41" a="1"/>
  <c r="A15" i="41" s="1"/>
  <c r="A14" i="41" a="1"/>
  <c r="A14" i="41" s="1"/>
  <c r="A13" i="41" a="1"/>
  <c r="A13" i="41" s="1"/>
  <c r="A12" i="41" a="1"/>
  <c r="A12" i="41" s="1"/>
  <c r="A11" i="41" a="1"/>
  <c r="A11" i="41" s="1"/>
  <c r="A10" i="41" a="1"/>
  <c r="A10" i="41" s="1"/>
  <c r="A9" i="41" a="1"/>
  <c r="A9" i="41" s="1"/>
  <c r="A8" i="41" a="1"/>
  <c r="A8" i="41" s="1"/>
  <c r="A7" i="41" a="1"/>
  <c r="A7" i="41" s="1"/>
  <c r="A6" i="41" a="1"/>
  <c r="A6" i="41"/>
  <c r="A5" i="41" a="1"/>
  <c r="A5" i="41"/>
  <c r="A4" i="41" a="1"/>
  <c r="A4" i="41" s="1"/>
  <c r="K34" i="41"/>
  <c r="K33" i="41"/>
  <c r="K32" i="41"/>
  <c r="K30" i="41"/>
  <c r="K29" i="41"/>
  <c r="K28" i="41"/>
  <c r="K26" i="41"/>
  <c r="K25" i="41"/>
  <c r="K24" i="41"/>
  <c r="K22" i="41"/>
  <c r="K21" i="41"/>
  <c r="K20" i="41"/>
  <c r="K18" i="41"/>
  <c r="K17" i="41"/>
  <c r="K16" i="41"/>
  <c r="K14" i="41"/>
  <c r="K13" i="41"/>
  <c r="K12" i="41"/>
  <c r="K10" i="41"/>
  <c r="K9" i="41"/>
  <c r="K8" i="41"/>
  <c r="K6" i="41"/>
  <c r="K5" i="41"/>
  <c r="K2" i="41"/>
  <c r="A3" i="41" a="1"/>
  <c r="A3" i="41" s="1"/>
  <c r="J34" i="41"/>
  <c r="I34" i="41"/>
  <c r="H34" i="41"/>
  <c r="G34" i="41"/>
  <c r="F34" i="41"/>
  <c r="E34" i="41"/>
  <c r="D34" i="41"/>
  <c r="C34" i="41"/>
  <c r="J33" i="41"/>
  <c r="I33" i="41"/>
  <c r="H33" i="41"/>
  <c r="G33" i="41"/>
  <c r="F33" i="41"/>
  <c r="E33" i="41"/>
  <c r="D33" i="41"/>
  <c r="C33" i="41"/>
  <c r="J32" i="41"/>
  <c r="I32" i="41"/>
  <c r="H32" i="41"/>
  <c r="G32" i="41"/>
  <c r="F32" i="41"/>
  <c r="E32" i="41"/>
  <c r="D32" i="41"/>
  <c r="C32" i="41"/>
  <c r="J30" i="41"/>
  <c r="I30" i="41"/>
  <c r="H30" i="41"/>
  <c r="G30" i="41"/>
  <c r="F30" i="41"/>
  <c r="E30" i="41"/>
  <c r="D30" i="41"/>
  <c r="C30" i="41"/>
  <c r="J29" i="41"/>
  <c r="I29" i="41"/>
  <c r="H29" i="41"/>
  <c r="G29" i="41"/>
  <c r="F29" i="41"/>
  <c r="E29" i="41"/>
  <c r="D29" i="41"/>
  <c r="C29" i="41"/>
  <c r="J28" i="41"/>
  <c r="I28" i="41"/>
  <c r="H28" i="41"/>
  <c r="G28" i="41"/>
  <c r="F28" i="41"/>
  <c r="E28" i="41"/>
  <c r="D28" i="41"/>
  <c r="C28" i="41"/>
  <c r="J26" i="41"/>
  <c r="I26" i="41"/>
  <c r="H26" i="41"/>
  <c r="G26" i="41"/>
  <c r="F26" i="41"/>
  <c r="E26" i="41"/>
  <c r="D26" i="41"/>
  <c r="C26" i="41"/>
  <c r="J25" i="41"/>
  <c r="I25" i="41"/>
  <c r="H25" i="41"/>
  <c r="G25" i="41"/>
  <c r="F25" i="41"/>
  <c r="E25" i="41"/>
  <c r="D25" i="41"/>
  <c r="C25" i="41"/>
  <c r="J24" i="41"/>
  <c r="I24" i="41"/>
  <c r="H24" i="41"/>
  <c r="G24" i="41"/>
  <c r="F24" i="41"/>
  <c r="E24" i="41"/>
  <c r="D24" i="41"/>
  <c r="C24" i="41"/>
  <c r="J22" i="41"/>
  <c r="I22" i="41"/>
  <c r="H22" i="41"/>
  <c r="G22" i="41"/>
  <c r="F22" i="41"/>
  <c r="E22" i="41"/>
  <c r="D22" i="41"/>
  <c r="C22" i="41"/>
  <c r="J21" i="41"/>
  <c r="I21" i="41"/>
  <c r="H21" i="41"/>
  <c r="G21" i="41"/>
  <c r="F21" i="41"/>
  <c r="E21" i="41"/>
  <c r="D21" i="41"/>
  <c r="C21" i="41"/>
  <c r="J20" i="41"/>
  <c r="I20" i="41"/>
  <c r="H20" i="41"/>
  <c r="G20" i="41"/>
  <c r="F20" i="41"/>
  <c r="E20" i="41"/>
  <c r="D20" i="41"/>
  <c r="C20" i="41"/>
  <c r="J18" i="41"/>
  <c r="I18" i="41"/>
  <c r="H18" i="41"/>
  <c r="G18" i="41"/>
  <c r="F18" i="41"/>
  <c r="E18" i="41"/>
  <c r="D18" i="41"/>
  <c r="C18" i="41"/>
  <c r="J17" i="41"/>
  <c r="I17" i="41"/>
  <c r="H17" i="41"/>
  <c r="G17" i="41"/>
  <c r="F17" i="41"/>
  <c r="E17" i="41"/>
  <c r="D17" i="41"/>
  <c r="C17" i="41"/>
  <c r="J16" i="41"/>
  <c r="I16" i="41"/>
  <c r="H16" i="41"/>
  <c r="G16" i="41"/>
  <c r="F16" i="41"/>
  <c r="E16" i="41"/>
  <c r="D16" i="41"/>
  <c r="C16" i="41"/>
  <c r="J14" i="41"/>
  <c r="I14" i="41"/>
  <c r="H14" i="41"/>
  <c r="G14" i="41"/>
  <c r="F14" i="41"/>
  <c r="E14" i="41"/>
  <c r="D14" i="41"/>
  <c r="C14" i="41"/>
  <c r="J13" i="41"/>
  <c r="I13" i="41"/>
  <c r="H13" i="41"/>
  <c r="G13" i="41"/>
  <c r="F13" i="41"/>
  <c r="E13" i="41"/>
  <c r="D13" i="41"/>
  <c r="C13" i="41"/>
  <c r="J12" i="41"/>
  <c r="I12" i="41"/>
  <c r="H12" i="41"/>
  <c r="G12" i="41"/>
  <c r="F12" i="41"/>
  <c r="E12" i="41"/>
  <c r="D12" i="41"/>
  <c r="C12" i="41"/>
  <c r="J10" i="41"/>
  <c r="I10" i="41"/>
  <c r="H10" i="41"/>
  <c r="G10" i="41"/>
  <c r="F10" i="41"/>
  <c r="E10" i="41"/>
  <c r="D10" i="41"/>
  <c r="C10" i="41"/>
  <c r="J9" i="41"/>
  <c r="I9" i="41"/>
  <c r="H9" i="41"/>
  <c r="G9" i="41"/>
  <c r="F9" i="41"/>
  <c r="E9" i="41"/>
  <c r="D9" i="41"/>
  <c r="C9" i="41"/>
  <c r="J8" i="41"/>
  <c r="I8" i="41"/>
  <c r="H8" i="41"/>
  <c r="G8" i="41"/>
  <c r="F8" i="41"/>
  <c r="E8" i="41"/>
  <c r="D8" i="41"/>
  <c r="C8" i="41"/>
  <c r="J6" i="41"/>
  <c r="I6" i="41"/>
  <c r="H6" i="41"/>
  <c r="G6" i="41"/>
  <c r="F6" i="41"/>
  <c r="E6" i="41"/>
  <c r="D6" i="41"/>
  <c r="C6" i="41"/>
  <c r="J5" i="41"/>
  <c r="I5" i="41"/>
  <c r="H5" i="41"/>
  <c r="G5" i="41"/>
  <c r="F5" i="41"/>
  <c r="E5" i="41"/>
  <c r="D5" i="41"/>
  <c r="C5" i="41"/>
  <c r="J2" i="41"/>
  <c r="I2" i="41"/>
  <c r="H2" i="41"/>
  <c r="G2" i="41"/>
  <c r="F2" i="41"/>
  <c r="E2" i="41"/>
  <c r="D2" i="41"/>
  <c r="C2" i="41"/>
  <c r="M41" i="38"/>
  <c r="M40" i="38"/>
  <c r="M39" i="38"/>
  <c r="M38" i="38"/>
  <c r="M37" i="38"/>
  <c r="M36" i="38"/>
  <c r="M35" i="38"/>
  <c r="M34" i="38"/>
  <c r="U41" i="38"/>
  <c r="T41" i="38"/>
  <c r="S41" i="38"/>
  <c r="R41" i="38"/>
  <c r="Q41" i="38"/>
  <c r="P41" i="38"/>
  <c r="O41" i="38"/>
  <c r="N41" i="38"/>
  <c r="U40" i="38"/>
  <c r="T40" i="38"/>
  <c r="S40" i="38"/>
  <c r="R40" i="38"/>
  <c r="Q40" i="38"/>
  <c r="P40" i="38"/>
  <c r="O40" i="38"/>
  <c r="N40" i="38"/>
  <c r="U39" i="38"/>
  <c r="T39" i="38"/>
  <c r="S39" i="38"/>
  <c r="R39" i="38"/>
  <c r="Q39" i="38"/>
  <c r="P39" i="38"/>
  <c r="O39" i="38"/>
  <c r="N39" i="38"/>
  <c r="U38" i="38"/>
  <c r="T38" i="38"/>
  <c r="S38" i="38"/>
  <c r="R38" i="38"/>
  <c r="Q38" i="38"/>
  <c r="P38" i="38"/>
  <c r="O38" i="38"/>
  <c r="N38" i="38"/>
  <c r="U37" i="38"/>
  <c r="T37" i="38"/>
  <c r="S37" i="38"/>
  <c r="R37" i="38"/>
  <c r="Q37" i="38"/>
  <c r="P37" i="38"/>
  <c r="O37" i="38"/>
  <c r="N37" i="38"/>
  <c r="U36" i="38"/>
  <c r="T36" i="38"/>
  <c r="S36" i="38"/>
  <c r="R36" i="38"/>
  <c r="Q36" i="38"/>
  <c r="P36" i="38"/>
  <c r="O36" i="38"/>
  <c r="N36" i="38"/>
  <c r="U35" i="38"/>
  <c r="T35" i="38"/>
  <c r="S35" i="38"/>
  <c r="R35" i="38"/>
  <c r="Q35" i="38"/>
  <c r="P35" i="38"/>
  <c r="O35" i="38"/>
  <c r="N35" i="38"/>
  <c r="U34" i="38"/>
  <c r="T34" i="38"/>
  <c r="S34" i="38"/>
  <c r="R34" i="38"/>
  <c r="Q34" i="38"/>
  <c r="P34" i="38"/>
  <c r="O34" i="38"/>
  <c r="N34" i="38"/>
  <c r="U33" i="38"/>
  <c r="T33" i="38"/>
  <c r="S33" i="38"/>
  <c r="R33" i="38"/>
  <c r="Q33" i="38"/>
  <c r="P33" i="38"/>
  <c r="O33" i="38"/>
  <c r="N33" i="38"/>
  <c r="H21" i="38" a="1"/>
  <c r="H21" i="38" s="1"/>
  <c r="G21" i="38" a="1"/>
  <c r="G21" i="38" s="1"/>
  <c r="F21" i="38" a="1"/>
  <c r="F21" i="38" s="1"/>
  <c r="H20" i="38" a="1"/>
  <c r="H20" i="38" s="1"/>
  <c r="H34" i="38" s="1"/>
  <c r="P18" i="38" s="1"/>
  <c r="G20" i="38" a="1"/>
  <c r="G20" i="38" s="1"/>
  <c r="G34" i="38" s="1"/>
  <c r="F20" i="38" a="1"/>
  <c r="F20" i="38" s="1"/>
  <c r="F34" i="38" s="1"/>
  <c r="N18" i="38" s="1"/>
  <c r="C37" i="38"/>
  <c r="L41" i="38"/>
  <c r="L40" i="38"/>
  <c r="L39" i="38"/>
  <c r="L38" i="38"/>
  <c r="L37" i="38"/>
  <c r="L36" i="38"/>
  <c r="L35" i="38"/>
  <c r="L34" i="38"/>
  <c r="L33" i="38"/>
  <c r="P15" i="38"/>
  <c r="N15" i="38"/>
  <c r="C14" i="40"/>
  <c r="W12" i="40" s="1"/>
  <c r="F30" i="38"/>
  <c r="C8" i="40" a="1"/>
  <c r="H30" i="38"/>
  <c r="C8" i="38" a="1"/>
  <c r="G30" i="38"/>
  <c r="C5" i="39" a="1"/>
  <c r="O18" i="38" l="1"/>
  <c r="C8" i="38"/>
  <c r="O15" i="38"/>
  <c r="N14" i="38"/>
  <c r="P14" i="38"/>
  <c r="C5" i="39"/>
  <c r="C9" i="38" s="1"/>
  <c r="W13" i="40"/>
  <c r="W11" i="40"/>
  <c r="W25" i="40"/>
  <c r="W38" i="40" s="1"/>
  <c r="K12" i="40"/>
  <c r="W14" i="40"/>
  <c r="W26" i="40"/>
  <c r="W39" i="40" s="1"/>
  <c r="C8" i="40"/>
  <c r="C11" i="40" s="1"/>
  <c r="H35" i="38"/>
  <c r="P19" i="38" s="1"/>
  <c r="G35" i="38"/>
  <c r="F35" i="38"/>
  <c r="N19" i="38" s="1"/>
  <c r="J99" i="28"/>
  <c r="K99" i="28" s="1"/>
  <c r="I99" i="28"/>
  <c r="H99" i="28"/>
  <c r="C24" i="38"/>
  <c r="C15" i="38"/>
  <c r="C14" i="38"/>
  <c r="C10" i="38"/>
  <c r="C6" i="39"/>
  <c r="C8" i="39"/>
  <c r="C9" i="39"/>
  <c r="C22" i="38"/>
  <c r="H13" i="39"/>
  <c r="G13" i="39"/>
  <c r="F13" i="39"/>
  <c r="E13" i="39"/>
  <c r="D13" i="39"/>
  <c r="F5" i="39" a="1"/>
  <c r="H5" i="39" a="1"/>
  <c r="G5" i="39" a="1"/>
  <c r="O19" i="38" l="1"/>
  <c r="O14" i="38"/>
  <c r="K13" i="40"/>
  <c r="K11" i="40"/>
  <c r="K25" i="40"/>
  <c r="K38" i="40" s="1"/>
  <c r="W10" i="40"/>
  <c r="W24" i="40"/>
  <c r="W37" i="40" s="1"/>
  <c r="AB7" i="40"/>
  <c r="Q32" i="38" s="1"/>
  <c r="P7" i="40"/>
  <c r="W27" i="40"/>
  <c r="W40" i="40" s="1"/>
  <c r="W15" i="40"/>
  <c r="H5" i="39"/>
  <c r="H17" i="39" s="1"/>
  <c r="G5" i="39"/>
  <c r="F5" i="39"/>
  <c r="C20" i="38"/>
  <c r="E5" i="39" a="1"/>
  <c r="D5" i="39" a="1"/>
  <c r="O7" i="40" l="1"/>
  <c r="P20" i="40"/>
  <c r="P33" i="40" s="1"/>
  <c r="Q7" i="40"/>
  <c r="AA7" i="40"/>
  <c r="P32" i="38" s="1"/>
  <c r="AC7" i="40"/>
  <c r="R32" i="38" s="1"/>
  <c r="AB20" i="40"/>
  <c r="AB33" i="40" s="1"/>
  <c r="W9" i="40"/>
  <c r="W23" i="40"/>
  <c r="W36" i="40" s="1"/>
  <c r="K10" i="40"/>
  <c r="K24" i="40"/>
  <c r="K37" i="40" s="1"/>
  <c r="K14" i="40"/>
  <c r="K26" i="40"/>
  <c r="K39" i="40" s="1"/>
  <c r="W28" i="40"/>
  <c r="W41" i="40" s="1"/>
  <c r="W16" i="40"/>
  <c r="W29" i="40" s="1"/>
  <c r="W42" i="40" s="1"/>
  <c r="G11" i="39"/>
  <c r="G12" i="39" s="1"/>
  <c r="G17" i="39"/>
  <c r="F17" i="39"/>
  <c r="F11" i="39"/>
  <c r="F12" i="39" s="1"/>
  <c r="F16" i="39" s="1"/>
  <c r="H11" i="39"/>
  <c r="H12" i="39" s="1"/>
  <c r="E5" i="39"/>
  <c r="C11" i="39"/>
  <c r="D5" i="39"/>
  <c r="D17" i="39" s="1"/>
  <c r="C16" i="38"/>
  <c r="C7" i="39" l="1"/>
  <c r="AE41" i="40"/>
  <c r="AB40" i="40"/>
  <c r="Y39" i="40"/>
  <c r="AE37" i="40"/>
  <c r="AB36" i="40"/>
  <c r="Y35" i="40"/>
  <c r="AD29" i="40"/>
  <c r="AA28" i="40"/>
  <c r="X27" i="40"/>
  <c r="AD25" i="40"/>
  <c r="AA24" i="40"/>
  <c r="X23" i="40"/>
  <c r="AD41" i="40"/>
  <c r="AA40" i="40"/>
  <c r="X39" i="40"/>
  <c r="AD37" i="40"/>
  <c r="AA36" i="40"/>
  <c r="X35" i="40"/>
  <c r="AC29" i="40"/>
  <c r="Z28" i="40"/>
  <c r="AF26" i="40"/>
  <c r="AC25" i="40"/>
  <c r="Z24" i="40"/>
  <c r="AF22" i="40"/>
  <c r="AC21" i="40"/>
  <c r="X9" i="40"/>
  <c r="AC15" i="40"/>
  <c r="Y14" i="40"/>
  <c r="AC12" i="40"/>
  <c r="Y11" i="40"/>
  <c r="AC9" i="40"/>
  <c r="Y8" i="40"/>
  <c r="AF42" i="40"/>
  <c r="AC41" i="40"/>
  <c r="Z40" i="40"/>
  <c r="AF38" i="40"/>
  <c r="AC37" i="40"/>
  <c r="Z36" i="40"/>
  <c r="AF34" i="40"/>
  <c r="AB29" i="40"/>
  <c r="Y28" i="40"/>
  <c r="AE26" i="40"/>
  <c r="AB25" i="40"/>
  <c r="G25" i="38" s="1"/>
  <c r="Y24" i="40"/>
  <c r="AE22" i="40"/>
  <c r="AB21" i="40"/>
  <c r="AF16" i="40"/>
  <c r="AB15" i="40"/>
  <c r="AF13" i="40"/>
  <c r="AB12" i="40"/>
  <c r="AF10" i="40"/>
  <c r="AB9" i="40"/>
  <c r="AE42" i="40"/>
  <c r="AB41" i="40"/>
  <c r="Y40" i="40"/>
  <c r="AE38" i="40"/>
  <c r="AB37" i="40"/>
  <c r="Y36" i="40"/>
  <c r="AE34" i="40"/>
  <c r="AA29" i="40"/>
  <c r="X28" i="40"/>
  <c r="AD26" i="40"/>
  <c r="AA25" i="40"/>
  <c r="X24" i="40"/>
  <c r="AD22" i="40"/>
  <c r="AA21" i="40"/>
  <c r="AE16" i="40"/>
  <c r="AA15" i="40"/>
  <c r="AE13" i="40"/>
  <c r="AA12" i="40"/>
  <c r="AE10" i="40"/>
  <c r="AA9" i="40"/>
  <c r="AD42" i="40"/>
  <c r="AA41" i="40"/>
  <c r="X40" i="40"/>
  <c r="AD38" i="40"/>
  <c r="AA37" i="40"/>
  <c r="X36" i="40"/>
  <c r="AD34" i="40"/>
  <c r="Z29" i="40"/>
  <c r="AC26" i="40"/>
  <c r="Z25" i="40"/>
  <c r="AF23" i="40"/>
  <c r="AC22" i="40"/>
  <c r="Z21" i="40"/>
  <c r="AD16" i="40"/>
  <c r="Z15" i="40"/>
  <c r="AF27" i="40"/>
  <c r="AC42" i="40"/>
  <c r="Z41" i="40"/>
  <c r="AF39" i="40"/>
  <c r="AC38" i="40"/>
  <c r="Z37" i="40"/>
  <c r="AF35" i="40"/>
  <c r="AC34" i="40"/>
  <c r="Y29" i="40"/>
  <c r="AE27" i="40"/>
  <c r="AB26" i="40"/>
  <c r="Y25" i="40"/>
  <c r="AE23" i="40"/>
  <c r="AB22" i="40"/>
  <c r="Y21" i="40"/>
  <c r="AC16" i="40"/>
  <c r="Y15" i="40"/>
  <c r="AC13" i="40"/>
  <c r="Y12" i="40"/>
  <c r="AC10" i="40"/>
  <c r="Y9" i="40"/>
  <c r="AE11" i="40"/>
  <c r="AE8" i="40"/>
  <c r="Z42" i="40"/>
  <c r="Z38" i="40"/>
  <c r="AC35" i="40"/>
  <c r="AE28" i="40"/>
  <c r="Y26" i="40"/>
  <c r="AB23" i="40"/>
  <c r="Z16" i="40"/>
  <c r="Z13" i="40"/>
  <c r="AD8" i="40"/>
  <c r="AB42" i="40"/>
  <c r="Y41" i="40"/>
  <c r="AE39" i="40"/>
  <c r="AB38" i="40"/>
  <c r="G26" i="38" s="1"/>
  <c r="Y37" i="40"/>
  <c r="AE35" i="40"/>
  <c r="AB34" i="40"/>
  <c r="X29" i="40"/>
  <c r="AD27" i="40"/>
  <c r="AA26" i="40"/>
  <c r="X25" i="40"/>
  <c r="AD23" i="40"/>
  <c r="AA22" i="40"/>
  <c r="X16" i="40"/>
  <c r="AB16" i="40"/>
  <c r="AF14" i="40"/>
  <c r="AB13" i="40"/>
  <c r="AF11" i="40"/>
  <c r="AB10" i="40"/>
  <c r="AF8" i="40"/>
  <c r="AA13" i="40"/>
  <c r="AF40" i="40"/>
  <c r="AF36" i="40"/>
  <c r="AB27" i="40"/>
  <c r="Y22" i="40"/>
  <c r="AD14" i="40"/>
  <c r="Z10" i="40"/>
  <c r="Y42" i="40"/>
  <c r="AA42" i="40"/>
  <c r="X41" i="40"/>
  <c r="AD39" i="40"/>
  <c r="AA38" i="40"/>
  <c r="X37" i="40"/>
  <c r="AD35" i="40"/>
  <c r="AA34" i="40"/>
  <c r="AF28" i="40"/>
  <c r="AC27" i="40"/>
  <c r="Z26" i="40"/>
  <c r="AF24" i="40"/>
  <c r="AC23" i="40"/>
  <c r="Z22" i="40"/>
  <c r="X15" i="40"/>
  <c r="AA16" i="40"/>
  <c r="AE14" i="40"/>
  <c r="AA10" i="40"/>
  <c r="AC39" i="40"/>
  <c r="Z34" i="40"/>
  <c r="AE24" i="40"/>
  <c r="X14" i="40"/>
  <c r="AD11" i="40"/>
  <c r="Y38" i="40"/>
  <c r="AD28" i="40"/>
  <c r="AA23" i="40"/>
  <c r="AF15" i="40"/>
  <c r="Z12" i="40"/>
  <c r="AB8" i="40"/>
  <c r="X38" i="40"/>
  <c r="AC28" i="40"/>
  <c r="Z23" i="40"/>
  <c r="AE15" i="40"/>
  <c r="AC11" i="40"/>
  <c r="AA8" i="40"/>
  <c r="AF37" i="40"/>
  <c r="AB28" i="40"/>
  <c r="Y23" i="40"/>
  <c r="AD15" i="40"/>
  <c r="AB11" i="40"/>
  <c r="Z8" i="40"/>
  <c r="Z9" i="40"/>
  <c r="AD12" i="40"/>
  <c r="AE36" i="40"/>
  <c r="AA27" i="40"/>
  <c r="X22" i="40"/>
  <c r="AC14" i="40"/>
  <c r="AA11" i="40"/>
  <c r="X42" i="40"/>
  <c r="AD36" i="40"/>
  <c r="Z27" i="40"/>
  <c r="AF21" i="40"/>
  <c r="AB14" i="40"/>
  <c r="Z11" i="40"/>
  <c r="X26" i="40"/>
  <c r="Y10" i="40"/>
  <c r="AA35" i="40"/>
  <c r="AF25" i="40"/>
  <c r="AD13" i="40"/>
  <c r="AC40" i="40"/>
  <c r="AE25" i="40"/>
  <c r="Y13" i="40"/>
  <c r="Y34" i="40"/>
  <c r="X11" i="40"/>
  <c r="AD9" i="40"/>
  <c r="AA39" i="40"/>
  <c r="AF29" i="40"/>
  <c r="AC24" i="40"/>
  <c r="X10" i="40"/>
  <c r="AE12" i="40"/>
  <c r="Z39" i="40"/>
  <c r="AE29" i="40"/>
  <c r="AB24" i="40"/>
  <c r="Y16" i="40"/>
  <c r="AC8" i="40"/>
  <c r="AF41" i="40"/>
  <c r="AC36" i="40"/>
  <c r="Y27" i="40"/>
  <c r="AE21" i="40"/>
  <c r="AA14" i="40"/>
  <c r="AD10" i="40"/>
  <c r="AE40" i="40"/>
  <c r="AB35" i="40"/>
  <c r="AD21" i="40"/>
  <c r="Z14" i="40"/>
  <c r="AD40" i="40"/>
  <c r="X13" i="40"/>
  <c r="AF9" i="40"/>
  <c r="Z35" i="40"/>
  <c r="X12" i="40"/>
  <c r="AE9" i="40"/>
  <c r="AB39" i="40"/>
  <c r="AD24" i="40"/>
  <c r="AF12" i="40"/>
  <c r="K15" i="40"/>
  <c r="K27" i="40"/>
  <c r="K40" i="40" s="1"/>
  <c r="Z7" i="40"/>
  <c r="O32" i="38" s="1"/>
  <c r="AA20" i="40"/>
  <c r="AA33" i="40" s="1"/>
  <c r="Q20" i="40"/>
  <c r="Q33" i="40" s="1"/>
  <c r="R7" i="40"/>
  <c r="K9" i="40"/>
  <c r="K23" i="40"/>
  <c r="K36" i="40" s="1"/>
  <c r="W8" i="40"/>
  <c r="W21" i="40" s="1"/>
  <c r="W34" i="40" s="1"/>
  <c r="W22" i="40"/>
  <c r="W35" i="40" s="1"/>
  <c r="AC20" i="40"/>
  <c r="AC33" i="40" s="1"/>
  <c r="AD7" i="40"/>
  <c r="S32" i="38" s="1"/>
  <c r="O20" i="40"/>
  <c r="O33" i="40" s="1"/>
  <c r="N7" i="40"/>
  <c r="E17" i="39"/>
  <c r="E11" i="39"/>
  <c r="F15" i="39"/>
  <c r="H16" i="39"/>
  <c r="H15" i="39"/>
  <c r="G15" i="39"/>
  <c r="G16" i="39"/>
  <c r="C12" i="39"/>
  <c r="D11" i="39"/>
  <c r="C11" i="38"/>
  <c r="C17" i="38" s="1"/>
  <c r="C49" i="37"/>
  <c r="C48" i="37"/>
  <c r="C47" i="37"/>
  <c r="E49" i="37" a="1"/>
  <c r="E49" i="37" s="1"/>
  <c r="D49" i="37" a="1"/>
  <c r="D49" i="37" s="1"/>
  <c r="E48" i="37" a="1"/>
  <c r="E48" i="37" s="1"/>
  <c r="D48" i="37" a="1"/>
  <c r="D48" i="37" s="1"/>
  <c r="E47" i="37" a="1"/>
  <c r="E47" i="37" s="1"/>
  <c r="D47" i="37" a="1"/>
  <c r="D47" i="37" s="1"/>
  <c r="E46" i="37" a="1"/>
  <c r="E46" i="37" s="1"/>
  <c r="D46" i="37" a="1"/>
  <c r="D46" i="37" s="1"/>
  <c r="AN17" i="18" s="1"/>
  <c r="E41" i="37" a="1"/>
  <c r="E41" i="37" s="1"/>
  <c r="D41" i="37" a="1"/>
  <c r="D41" i="37" s="1"/>
  <c r="AM17" i="18" s="1"/>
  <c r="E36" i="37" a="1"/>
  <c r="E36" i="37" s="1"/>
  <c r="D36" i="37" a="1"/>
  <c r="D36" i="37" s="1"/>
  <c r="E31" i="37" a="1"/>
  <c r="E31" i="37" s="1"/>
  <c r="D31" i="37" a="1"/>
  <c r="D31" i="37" s="1"/>
  <c r="E26" i="37" a="1"/>
  <c r="E26" i="37" s="1"/>
  <c r="D26" i="37" a="1"/>
  <c r="D26" i="37" s="1"/>
  <c r="E21" i="37" a="1"/>
  <c r="E21" i="37" s="1"/>
  <c r="D21" i="37" a="1"/>
  <c r="D21" i="37" s="1"/>
  <c r="AQ17" i="18" s="1"/>
  <c r="E16" i="37" a="1"/>
  <c r="E16" i="37" s="1"/>
  <c r="D16" i="37" a="1"/>
  <c r="D16" i="37" s="1"/>
  <c r="AN4" i="18" s="1"/>
  <c r="E11" i="37" a="1"/>
  <c r="E11" i="37" s="1"/>
  <c r="D11" i="37" a="1"/>
  <c r="D11" i="37" s="1"/>
  <c r="AM4" i="18" s="1"/>
  <c r="I21" i="37"/>
  <c r="H21" i="37"/>
  <c r="G21" i="37"/>
  <c r="F21" i="37"/>
  <c r="B5" i="37" a="1"/>
  <c r="I36" i="37"/>
  <c r="H36" i="37"/>
  <c r="G36" i="37"/>
  <c r="F36" i="37"/>
  <c r="I11" i="37"/>
  <c r="H11" i="37"/>
  <c r="G11" i="37"/>
  <c r="F11" i="37"/>
  <c r="G9" i="37"/>
  <c r="H9" i="37" s="1"/>
  <c r="I9" i="37" s="1"/>
  <c r="J9" i="37" s="1"/>
  <c r="K9" i="37" s="1"/>
  <c r="L9" i="37" s="1"/>
  <c r="M9" i="37" s="1"/>
  <c r="N9" i="37" s="1"/>
  <c r="C10" i="35"/>
  <c r="D10" i="35" s="1"/>
  <c r="E10" i="35" s="1"/>
  <c r="F10" i="35" s="1"/>
  <c r="G10" i="35" s="1"/>
  <c r="G42" i="35" s="1"/>
  <c r="N8" i="36"/>
  <c r="T34" i="18" s="1"/>
  <c r="L8" i="36"/>
  <c r="R34" i="18" s="1"/>
  <c r="H12" i="36"/>
  <c r="H11" i="36" s="1"/>
  <c r="H10" i="36" s="1"/>
  <c r="H9" i="36" s="1"/>
  <c r="H14" i="36"/>
  <c r="H15" i="36" s="1"/>
  <c r="H16" i="36" s="1"/>
  <c r="H17" i="36" s="1"/>
  <c r="W33" i="18"/>
  <c r="V33" i="18"/>
  <c r="U33" i="18"/>
  <c r="T33" i="18"/>
  <c r="S33" i="18"/>
  <c r="R33" i="18"/>
  <c r="Q33" i="18"/>
  <c r="P33" i="18"/>
  <c r="O33" i="18"/>
  <c r="W32" i="18"/>
  <c r="V32" i="18"/>
  <c r="U32" i="18"/>
  <c r="T32" i="18"/>
  <c r="S32" i="18"/>
  <c r="R32" i="18"/>
  <c r="Q32" i="18"/>
  <c r="P32" i="18"/>
  <c r="O32" i="18"/>
  <c r="W31" i="18"/>
  <c r="V31" i="18"/>
  <c r="U31" i="18"/>
  <c r="T31" i="18"/>
  <c r="S31" i="18"/>
  <c r="R31" i="18"/>
  <c r="Q31" i="18"/>
  <c r="P31" i="18"/>
  <c r="O31" i="18"/>
  <c r="W30" i="18"/>
  <c r="V30" i="18"/>
  <c r="U30" i="18"/>
  <c r="T30" i="18"/>
  <c r="S30" i="18"/>
  <c r="R30" i="18"/>
  <c r="Q30" i="18"/>
  <c r="P30" i="18"/>
  <c r="O30" i="18"/>
  <c r="W29" i="18"/>
  <c r="V29" i="18"/>
  <c r="U29" i="18"/>
  <c r="T29" i="18"/>
  <c r="S29" i="18"/>
  <c r="R29" i="18"/>
  <c r="Q29" i="18"/>
  <c r="P29" i="18"/>
  <c r="O29" i="18"/>
  <c r="X29" i="18"/>
  <c r="W28" i="18"/>
  <c r="V28" i="18"/>
  <c r="U28" i="18"/>
  <c r="T28" i="18"/>
  <c r="S28" i="18"/>
  <c r="R28" i="18"/>
  <c r="Q28" i="18"/>
  <c r="P28" i="18"/>
  <c r="O28" i="18"/>
  <c r="W27" i="18"/>
  <c r="V27" i="18"/>
  <c r="U27" i="18"/>
  <c r="T27" i="18"/>
  <c r="S27" i="18"/>
  <c r="R27" i="18"/>
  <c r="Q27" i="18"/>
  <c r="P27" i="18"/>
  <c r="O27" i="18"/>
  <c r="W26" i="18"/>
  <c r="V26" i="18"/>
  <c r="U26" i="18"/>
  <c r="T26" i="18"/>
  <c r="S26" i="18"/>
  <c r="R26" i="18"/>
  <c r="Q26" i="18"/>
  <c r="P26" i="18"/>
  <c r="O26" i="18"/>
  <c r="W25" i="18"/>
  <c r="V25" i="18"/>
  <c r="U25" i="18"/>
  <c r="T25" i="18"/>
  <c r="S25" i="18"/>
  <c r="R25" i="18"/>
  <c r="Q25" i="18"/>
  <c r="P25" i="18"/>
  <c r="O25" i="18"/>
  <c r="S34" i="18"/>
  <c r="D45" i="35"/>
  <c r="H46" i="19" s="1"/>
  <c r="D26" i="35"/>
  <c r="E26" i="35" s="1"/>
  <c r="F26" i="35" s="1"/>
  <c r="G26" i="35" s="1"/>
  <c r="D21" i="35"/>
  <c r="E21" i="35" s="1"/>
  <c r="F21" i="35" s="1"/>
  <c r="G21" i="35" s="1"/>
  <c r="G77" i="35"/>
  <c r="K11" i="28" s="1"/>
  <c r="F77" i="35"/>
  <c r="J11" i="28" s="1"/>
  <c r="E77" i="35"/>
  <c r="I11" i="28" s="1"/>
  <c r="D77" i="35"/>
  <c r="H11" i="28" s="1"/>
  <c r="C77" i="35"/>
  <c r="G11" i="28" s="1"/>
  <c r="G63" i="35"/>
  <c r="K67" i="19" s="1"/>
  <c r="F63" i="35"/>
  <c r="J67" i="19" s="1"/>
  <c r="E63" i="35"/>
  <c r="I67" i="19" s="1"/>
  <c r="D63" i="35"/>
  <c r="H67" i="19" s="1"/>
  <c r="C63" i="35"/>
  <c r="G67" i="19" s="1"/>
  <c r="G33" i="17" s="1"/>
  <c r="C55" i="35"/>
  <c r="G57" i="19" s="1"/>
  <c r="C50" i="35"/>
  <c r="G51" i="19" s="1"/>
  <c r="C45" i="35"/>
  <c r="G46" i="19" s="1"/>
  <c r="G36" i="35"/>
  <c r="K38" i="19" s="1"/>
  <c r="F36" i="35"/>
  <c r="J38" i="19" s="1"/>
  <c r="E36" i="35"/>
  <c r="I38" i="19" s="1"/>
  <c r="D36" i="35"/>
  <c r="H38" i="19" s="1"/>
  <c r="C36" i="35"/>
  <c r="G38" i="19" s="1"/>
  <c r="G30" i="35"/>
  <c r="K33" i="19" s="1"/>
  <c r="K34" i="19" s="1"/>
  <c r="F30" i="35"/>
  <c r="J33" i="19" s="1"/>
  <c r="J34" i="19" s="1"/>
  <c r="E30" i="35"/>
  <c r="I33" i="19" s="1"/>
  <c r="I34" i="19" s="1"/>
  <c r="D30" i="35"/>
  <c r="H33" i="19" s="1"/>
  <c r="H34" i="19" s="1"/>
  <c r="C30" i="35"/>
  <c r="G33" i="19" s="1"/>
  <c r="G34" i="19" s="1"/>
  <c r="G23" i="35"/>
  <c r="K23" i="19" s="1"/>
  <c r="F23" i="35"/>
  <c r="J23" i="19" s="1"/>
  <c r="E23" i="35"/>
  <c r="I23" i="19" s="1"/>
  <c r="D23" i="35"/>
  <c r="H23" i="19" s="1"/>
  <c r="C23" i="35"/>
  <c r="G23" i="19" s="1"/>
  <c r="E18" i="35"/>
  <c r="I19" i="19" s="1"/>
  <c r="I20" i="19" s="1"/>
  <c r="D18" i="35"/>
  <c r="H19" i="19" s="1"/>
  <c r="H20" i="19" s="1"/>
  <c r="C18" i="35"/>
  <c r="G19" i="19" s="1"/>
  <c r="G20" i="19" s="1"/>
  <c r="G13" i="35"/>
  <c r="K8" i="19" s="1"/>
  <c r="K9" i="19" s="1"/>
  <c r="F13" i="35"/>
  <c r="J8" i="19" s="1"/>
  <c r="J9" i="19" s="1"/>
  <c r="E13" i="35"/>
  <c r="I8" i="19" s="1"/>
  <c r="I9" i="19" s="1"/>
  <c r="D13" i="35"/>
  <c r="H8" i="19" s="1"/>
  <c r="H9" i="19" s="1"/>
  <c r="C13" i="35"/>
  <c r="G8" i="19" s="1"/>
  <c r="G9" i="19" s="1"/>
  <c r="F65" i="19"/>
  <c r="E65" i="19"/>
  <c r="D65" i="19"/>
  <c r="C65" i="19"/>
  <c r="F42" i="19"/>
  <c r="E42" i="19"/>
  <c r="D42" i="19"/>
  <c r="C42" i="19"/>
  <c r="F52" i="17"/>
  <c r="E52" i="17"/>
  <c r="D52" i="17"/>
  <c r="D119" i="17" s="1"/>
  <c r="H91" i="17"/>
  <c r="I91" i="17" s="1"/>
  <c r="J91" i="17" s="1"/>
  <c r="K91" i="17" s="1"/>
  <c r="H92" i="17"/>
  <c r="I92" i="17" s="1"/>
  <c r="J92" i="17" s="1"/>
  <c r="K92" i="17" s="1"/>
  <c r="G16" i="21"/>
  <c r="D72" i="28"/>
  <c r="D98" i="17" s="1"/>
  <c r="E72" i="28"/>
  <c r="E98" i="17" s="1"/>
  <c r="F72" i="28"/>
  <c r="F98" i="17" s="1"/>
  <c r="D74" i="28"/>
  <c r="D99" i="17" s="1"/>
  <c r="E74" i="28"/>
  <c r="E99" i="17" s="1"/>
  <c r="F74" i="28"/>
  <c r="F99" i="17" s="1"/>
  <c r="C74" i="28"/>
  <c r="C99" i="17" s="1"/>
  <c r="C72" i="28"/>
  <c r="C98" i="17" s="1"/>
  <c r="C100" i="17"/>
  <c r="D100" i="17"/>
  <c r="E100" i="17"/>
  <c r="F100" i="17"/>
  <c r="F21" i="21"/>
  <c r="E21" i="21"/>
  <c r="D21" i="21"/>
  <c r="F26" i="28"/>
  <c r="E26" i="28"/>
  <c r="D26" i="28"/>
  <c r="C26" i="28"/>
  <c r="B5" i="37" l="1"/>
  <c r="G9" i="40" s="1"/>
  <c r="H11" i="40"/>
  <c r="AL5" i="18" a="1"/>
  <c r="AL5" i="18" s="1"/>
  <c r="AP18" i="18" a="1"/>
  <c r="AP18" i="18" s="1"/>
  <c r="G24" i="38"/>
  <c r="G27" i="38" s="1" a="1"/>
  <c r="G27" i="38" s="1"/>
  <c r="G36" i="38" s="1"/>
  <c r="H25" i="38"/>
  <c r="F25" i="38"/>
  <c r="H24" i="38"/>
  <c r="F24" i="38"/>
  <c r="H26" i="38"/>
  <c r="F26" i="38"/>
  <c r="Y7" i="40"/>
  <c r="N32" i="38" s="1"/>
  <c r="Z20" i="40"/>
  <c r="Z33" i="40" s="1"/>
  <c r="AD20" i="40"/>
  <c r="AD33" i="40" s="1"/>
  <c r="AE7" i="40"/>
  <c r="T32" i="38" s="1"/>
  <c r="K8" i="40"/>
  <c r="K21" i="40" s="1"/>
  <c r="K34" i="40" s="1"/>
  <c r="K22" i="40"/>
  <c r="K35" i="40" s="1"/>
  <c r="S7" i="40"/>
  <c r="R20" i="40"/>
  <c r="R33" i="40" s="1"/>
  <c r="N20" i="40"/>
  <c r="N33" i="40" s="1"/>
  <c r="M7" i="40"/>
  <c r="K16" i="40"/>
  <c r="K29" i="40" s="1"/>
  <c r="K42" i="40" s="1"/>
  <c r="K28" i="40"/>
  <c r="K41" i="40" s="1"/>
  <c r="K8" i="36"/>
  <c r="J8" i="36" s="1"/>
  <c r="I8" i="36" s="1"/>
  <c r="O8" i="36"/>
  <c r="P8" i="36" s="1"/>
  <c r="Q8" i="36" s="1"/>
  <c r="E12" i="39"/>
  <c r="D12" i="39"/>
  <c r="D16" i="39" s="1"/>
  <c r="C15" i="39"/>
  <c r="AP5" i="18" a="1"/>
  <c r="AP5" i="18" s="1"/>
  <c r="AL18" i="18" a="1"/>
  <c r="AL18" i="18" s="1"/>
  <c r="AL31" i="18" a="1"/>
  <c r="AL31" i="18" s="1"/>
  <c r="G16" i="37"/>
  <c r="H16" i="37"/>
  <c r="I16" i="37"/>
  <c r="O34" i="18"/>
  <c r="Q34" i="18"/>
  <c r="U34" i="18"/>
  <c r="X33" i="18"/>
  <c r="W34" i="18"/>
  <c r="V34" i="18"/>
  <c r="X27" i="18"/>
  <c r="X28" i="18"/>
  <c r="X30" i="18"/>
  <c r="X32" i="18"/>
  <c r="X31" i="18"/>
  <c r="D55" i="35"/>
  <c r="H57" i="19" s="1"/>
  <c r="E45" i="35"/>
  <c r="I46" i="19" s="1"/>
  <c r="G55" i="35"/>
  <c r="K57" i="19" s="1"/>
  <c r="F55" i="35"/>
  <c r="J57" i="19" s="1"/>
  <c r="E55" i="35"/>
  <c r="I57" i="19" s="1"/>
  <c r="E50" i="35"/>
  <c r="I51" i="19" s="1"/>
  <c r="D50" i="35"/>
  <c r="H51" i="19" s="1"/>
  <c r="G45" i="35"/>
  <c r="K46" i="19" s="1"/>
  <c r="F45" i="35"/>
  <c r="J46" i="19" s="1"/>
  <c r="G18" i="35"/>
  <c r="K19" i="19" s="1"/>
  <c r="K20" i="19" s="1"/>
  <c r="F18" i="35"/>
  <c r="J19" i="19" s="1"/>
  <c r="J20" i="19" s="1"/>
  <c r="F61" i="35"/>
  <c r="C75" i="35"/>
  <c r="C61" i="35"/>
  <c r="E61" i="35"/>
  <c r="G61" i="35"/>
  <c r="D75" i="35"/>
  <c r="D42" i="35"/>
  <c r="D61" i="35"/>
  <c r="E75" i="35"/>
  <c r="F75" i="35"/>
  <c r="C42" i="35"/>
  <c r="G75" i="35"/>
  <c r="E42" i="35"/>
  <c r="F42" i="35"/>
  <c r="G10" i="19"/>
  <c r="H10" i="19" s="1"/>
  <c r="I10" i="19" s="1"/>
  <c r="J10" i="19" s="1"/>
  <c r="E19" i="21"/>
  <c r="F19" i="21"/>
  <c r="G19" i="21" s="1"/>
  <c r="G21" i="21" s="1"/>
  <c r="K52" i="21"/>
  <c r="J52" i="21"/>
  <c r="I52" i="21"/>
  <c r="H52" i="21"/>
  <c r="G52" i="21"/>
  <c r="E51" i="21"/>
  <c r="D51" i="21"/>
  <c r="C15" i="34"/>
  <c r="D6" i="34" s="1"/>
  <c r="D46" i="21" s="1"/>
  <c r="F13" i="34"/>
  <c r="F52" i="21" s="1"/>
  <c r="E13" i="34"/>
  <c r="E52" i="21" s="1"/>
  <c r="D13" i="34"/>
  <c r="D52" i="21" s="1"/>
  <c r="F12" i="34"/>
  <c r="F51" i="21" s="1"/>
  <c r="F11" i="34"/>
  <c r="F50" i="21" s="1"/>
  <c r="E11" i="34"/>
  <c r="E50" i="21" s="1"/>
  <c r="D11" i="34"/>
  <c r="D50" i="21" s="1"/>
  <c r="F10" i="34"/>
  <c r="F49" i="21" s="1"/>
  <c r="E10" i="34"/>
  <c r="E49" i="21" s="1"/>
  <c r="D10" i="34"/>
  <c r="D49" i="21" s="1"/>
  <c r="F9" i="34"/>
  <c r="F48" i="21" s="1"/>
  <c r="E9" i="34"/>
  <c r="E48" i="21" s="1"/>
  <c r="D9" i="34"/>
  <c r="D48" i="21" s="1"/>
  <c r="F8" i="34"/>
  <c r="F47" i="21" s="1"/>
  <c r="E8" i="34"/>
  <c r="E47" i="21" s="1"/>
  <c r="D8" i="34"/>
  <c r="D47" i="21" s="1"/>
  <c r="D4" i="34"/>
  <c r="E4" i="34" s="1"/>
  <c r="F4" i="34" s="1"/>
  <c r="G4" i="34" s="1"/>
  <c r="H4" i="34" s="1"/>
  <c r="I4" i="34" s="1"/>
  <c r="J4" i="34" s="1"/>
  <c r="K4" i="34" s="1"/>
  <c r="D44" i="21"/>
  <c r="E44" i="21" s="1"/>
  <c r="F44" i="21" s="1"/>
  <c r="G44" i="21" s="1"/>
  <c r="H44" i="21" s="1"/>
  <c r="I44" i="21" s="1"/>
  <c r="J44" i="21" s="1"/>
  <c r="K44" i="21" s="1"/>
  <c r="D30" i="21"/>
  <c r="E30" i="21" s="1"/>
  <c r="F30" i="21" s="1"/>
  <c r="G30" i="21" s="1"/>
  <c r="H30" i="21" s="1"/>
  <c r="I30" i="21" s="1"/>
  <c r="J30" i="21" s="1"/>
  <c r="K30" i="21" s="1"/>
  <c r="D4" i="21"/>
  <c r="E4" i="21" s="1"/>
  <c r="F4" i="21" s="1"/>
  <c r="G4" i="21" s="1"/>
  <c r="H4" i="21" s="1"/>
  <c r="I4" i="21" s="1"/>
  <c r="J4" i="21" s="1"/>
  <c r="K4" i="21" s="1"/>
  <c r="F17" i="21"/>
  <c r="G13" i="21" s="1"/>
  <c r="E17" i="21"/>
  <c r="F13" i="21" s="1"/>
  <c r="D17" i="21"/>
  <c r="E13" i="21" s="1"/>
  <c r="K35" i="17"/>
  <c r="J35" i="17"/>
  <c r="I35" i="17"/>
  <c r="H35" i="17"/>
  <c r="G35" i="17"/>
  <c r="F39" i="21"/>
  <c r="F69" i="17" s="1"/>
  <c r="E39" i="21"/>
  <c r="E69" i="17" s="1"/>
  <c r="D39" i="21"/>
  <c r="D69" i="17" s="1"/>
  <c r="E99" i="28"/>
  <c r="E101" i="28" s="1"/>
  <c r="D99" i="28"/>
  <c r="D101" i="28" s="1"/>
  <c r="C99" i="28"/>
  <c r="C101" i="28" s="1"/>
  <c r="F99" i="28"/>
  <c r="F101" i="28" s="1"/>
  <c r="F108" i="17" s="1"/>
  <c r="G101" i="28"/>
  <c r="G108" i="17" s="1"/>
  <c r="G12" i="34" s="1"/>
  <c r="G51" i="21" s="1"/>
  <c r="K93" i="28"/>
  <c r="C93" i="28"/>
  <c r="D93" i="28"/>
  <c r="E93" i="28"/>
  <c r="F93" i="28"/>
  <c r="C94" i="28"/>
  <c r="D94" i="28"/>
  <c r="E94" i="28"/>
  <c r="F94" i="28"/>
  <c r="F107" i="17"/>
  <c r="L11" i="30"/>
  <c r="G23" i="30"/>
  <c r="E15" i="30"/>
  <c r="F15" i="30" s="1"/>
  <c r="G15" i="30" s="1"/>
  <c r="F23" i="30"/>
  <c r="E23" i="30"/>
  <c r="D23" i="30"/>
  <c r="K11" i="30"/>
  <c r="J11" i="30"/>
  <c r="I11" i="30"/>
  <c r="I9" i="30"/>
  <c r="J9" i="30" s="1"/>
  <c r="K9" i="30" s="1"/>
  <c r="L9" i="30" s="1"/>
  <c r="C20" i="30"/>
  <c r="C25" i="30"/>
  <c r="C29" i="30"/>
  <c r="D17" i="30" s="1"/>
  <c r="G9" i="30"/>
  <c r="F9" i="30" s="1"/>
  <c r="E9" i="30" s="1"/>
  <c r="D9" i="30" s="1"/>
  <c r="C9" i="30" s="1"/>
  <c r="E19" i="30"/>
  <c r="F19" i="30" s="1"/>
  <c r="G19" i="30" s="1"/>
  <c r="K88" i="28"/>
  <c r="K105" i="17" s="1"/>
  <c r="J88" i="28"/>
  <c r="J105" i="17" s="1"/>
  <c r="I88" i="28"/>
  <c r="I105" i="17" s="1"/>
  <c r="H88" i="28"/>
  <c r="H105" i="17" s="1"/>
  <c r="G88" i="28"/>
  <c r="G105" i="17" s="1"/>
  <c r="F87" i="28"/>
  <c r="E87" i="28"/>
  <c r="D87" i="28"/>
  <c r="F86" i="28"/>
  <c r="E86" i="28"/>
  <c r="D86" i="28"/>
  <c r="C87" i="28"/>
  <c r="C86" i="28"/>
  <c r="F106" i="17"/>
  <c r="E106" i="17"/>
  <c r="D106" i="17"/>
  <c r="C106" i="17"/>
  <c r="D83" i="28"/>
  <c r="E83" i="28" s="1"/>
  <c r="F83" i="28" s="1"/>
  <c r="G83" i="28" s="1"/>
  <c r="H83" i="28" s="1"/>
  <c r="I83" i="28" s="1"/>
  <c r="J83" i="28" s="1"/>
  <c r="K83" i="28" s="1"/>
  <c r="F101" i="17"/>
  <c r="F25" i="21" s="1"/>
  <c r="E101" i="17"/>
  <c r="E25" i="21" s="1"/>
  <c r="D101" i="17"/>
  <c r="D25" i="21" s="1"/>
  <c r="C101" i="17"/>
  <c r="C25" i="21" s="1"/>
  <c r="F80" i="28"/>
  <c r="G80" i="28" s="1"/>
  <c r="E80" i="28"/>
  <c r="D80" i="28"/>
  <c r="F78" i="28"/>
  <c r="E78" i="28"/>
  <c r="D78" i="28"/>
  <c r="C80" i="28"/>
  <c r="C78" i="28"/>
  <c r="D69" i="28"/>
  <c r="E69" i="28" s="1"/>
  <c r="F69" i="28" s="1"/>
  <c r="G69" i="28" s="1"/>
  <c r="H69" i="28" s="1"/>
  <c r="I69" i="28" s="1"/>
  <c r="J69" i="28" s="1"/>
  <c r="K69" i="28" s="1"/>
  <c r="F6" i="28"/>
  <c r="F88" i="17" s="1"/>
  <c r="E6" i="28"/>
  <c r="D6" i="28"/>
  <c r="D88" i="17" s="1"/>
  <c r="C6" i="28"/>
  <c r="C88" i="17" s="1"/>
  <c r="G15" i="22"/>
  <c r="F15" i="22"/>
  <c r="E15" i="22"/>
  <c r="I38" i="21" s="1"/>
  <c r="I39" i="21" s="1"/>
  <c r="I69" i="17" s="1"/>
  <c r="D15" i="22"/>
  <c r="H39" i="21" s="1"/>
  <c r="H69" i="17" s="1"/>
  <c r="C15" i="22"/>
  <c r="G39" i="21" s="1"/>
  <c r="G69" i="17" s="1"/>
  <c r="L9" i="29"/>
  <c r="L8" i="29"/>
  <c r="L7" i="29"/>
  <c r="L6" i="29"/>
  <c r="L10" i="29"/>
  <c r="K11" i="29" a="1"/>
  <c r="K11" i="29" s="1"/>
  <c r="J11" i="29" a="1"/>
  <c r="J11" i="29" s="1"/>
  <c r="I11" i="29" a="1"/>
  <c r="I11" i="29" s="1"/>
  <c r="H11" i="29" a="1"/>
  <c r="H11" i="29" s="1"/>
  <c r="G11" i="29" a="1"/>
  <c r="G11" i="29" s="1"/>
  <c r="F11" i="29" a="1"/>
  <c r="F11" i="29" s="1"/>
  <c r="E11" i="29" a="1"/>
  <c r="E11" i="29" s="1"/>
  <c r="D11" i="29" a="1"/>
  <c r="D11" i="29" s="1"/>
  <c r="C11" i="29" a="1"/>
  <c r="C11" i="29" s="1"/>
  <c r="H16" i="22"/>
  <c r="H14" i="22"/>
  <c r="H13" i="22"/>
  <c r="D11" i="22"/>
  <c r="E11" i="22" s="1"/>
  <c r="F11" i="22" s="1"/>
  <c r="G11" i="22" s="1"/>
  <c r="D61" i="28"/>
  <c r="E61" i="28"/>
  <c r="F61" i="28"/>
  <c r="D56" i="28"/>
  <c r="E56" i="28"/>
  <c r="F56" i="28"/>
  <c r="D51" i="28"/>
  <c r="E51" i="28"/>
  <c r="F51" i="28"/>
  <c r="D41" i="28"/>
  <c r="E41" i="28"/>
  <c r="F41" i="28"/>
  <c r="D36" i="28"/>
  <c r="E36" i="28"/>
  <c r="F36" i="28"/>
  <c r="F21" i="28"/>
  <c r="E21" i="28"/>
  <c r="D21" i="28"/>
  <c r="C61" i="28"/>
  <c r="C56" i="28"/>
  <c r="C51" i="28"/>
  <c r="C46" i="28"/>
  <c r="C41" i="28"/>
  <c r="C36" i="28"/>
  <c r="C21" i="28"/>
  <c r="D17" i="28"/>
  <c r="E17" i="28" s="1"/>
  <c r="F17" i="28" s="1"/>
  <c r="G17" i="28" s="1"/>
  <c r="H17" i="28" s="1"/>
  <c r="I17" i="28" s="1"/>
  <c r="J17" i="28" s="1"/>
  <c r="K17" i="28" s="1"/>
  <c r="D4" i="28"/>
  <c r="E4" i="28" s="1"/>
  <c r="F4" i="28" s="1"/>
  <c r="G4" i="28" s="1"/>
  <c r="H4" i="28" s="1"/>
  <c r="I4" i="28" s="1"/>
  <c r="J4" i="28" s="1"/>
  <c r="K4" i="28" s="1"/>
  <c r="F91" i="17"/>
  <c r="L3" i="26"/>
  <c r="K8" i="26" a="1"/>
  <c r="K8" i="26" s="1"/>
  <c r="K8" i="28" s="1"/>
  <c r="K24" i="21" s="1"/>
  <c r="J8" i="26" a="1"/>
  <c r="J8" i="26" s="1"/>
  <c r="J8" i="28" s="1"/>
  <c r="J24" i="21" s="1"/>
  <c r="I8" i="26" a="1"/>
  <c r="I8" i="26" s="1"/>
  <c r="I8" i="28" s="1"/>
  <c r="I24" i="21" s="1"/>
  <c r="H8" i="26" a="1"/>
  <c r="H8" i="26" s="1"/>
  <c r="H8" i="28" s="1"/>
  <c r="H24" i="21" s="1"/>
  <c r="G8" i="26" a="1"/>
  <c r="G8" i="26" s="1"/>
  <c r="G8" i="28" s="1"/>
  <c r="G24" i="21" s="1"/>
  <c r="F8" i="26" a="1"/>
  <c r="F8" i="26" s="1"/>
  <c r="F8" i="28" s="1"/>
  <c r="F24" i="21" s="1"/>
  <c r="E8" i="26" a="1"/>
  <c r="E8" i="26" s="1"/>
  <c r="E8" i="28" s="1"/>
  <c r="E24" i="21" s="1"/>
  <c r="D8" i="26" a="1"/>
  <c r="D8" i="26" s="1"/>
  <c r="D8" i="28" s="1"/>
  <c r="D24" i="21" s="1"/>
  <c r="C8" i="26" a="1"/>
  <c r="C8" i="26" s="1"/>
  <c r="C8" i="28" s="1"/>
  <c r="C24" i="21" s="1"/>
  <c r="L6" i="26"/>
  <c r="L5" i="26"/>
  <c r="L4" i="26"/>
  <c r="F116" i="17"/>
  <c r="E116" i="17"/>
  <c r="D116" i="17"/>
  <c r="C116" i="17"/>
  <c r="F115" i="17"/>
  <c r="E115" i="17"/>
  <c r="D115" i="17"/>
  <c r="C115" i="17"/>
  <c r="F111" i="17"/>
  <c r="E111" i="17"/>
  <c r="D111" i="17"/>
  <c r="C111" i="17"/>
  <c r="E107" i="17"/>
  <c r="D107" i="17"/>
  <c r="C107" i="17"/>
  <c r="F93" i="17"/>
  <c r="E93" i="17"/>
  <c r="D93" i="17"/>
  <c r="C93" i="17"/>
  <c r="F92" i="17"/>
  <c r="E92" i="17"/>
  <c r="D92" i="17"/>
  <c r="C92" i="17"/>
  <c r="E91" i="17"/>
  <c r="D91" i="17"/>
  <c r="C91" i="17"/>
  <c r="F90" i="17"/>
  <c r="E90" i="17"/>
  <c r="D90" i="17"/>
  <c r="C90" i="17"/>
  <c r="F89" i="17"/>
  <c r="F91" i="28" s="1"/>
  <c r="E89" i="17"/>
  <c r="E91" i="28" s="1"/>
  <c r="D89" i="17"/>
  <c r="D91" i="28" s="1"/>
  <c r="C89" i="17"/>
  <c r="C91" i="28" s="1"/>
  <c r="F70" i="17"/>
  <c r="F41" i="21" s="1"/>
  <c r="E70" i="17"/>
  <c r="D70" i="17"/>
  <c r="F68" i="17"/>
  <c r="F36" i="21" s="1"/>
  <c r="E68" i="17"/>
  <c r="E36" i="21" s="1"/>
  <c r="D68" i="17"/>
  <c r="D36" i="21" s="1"/>
  <c r="F67" i="17"/>
  <c r="E67" i="17"/>
  <c r="D67" i="17"/>
  <c r="F65" i="17"/>
  <c r="G65" i="17" s="1"/>
  <c r="H65" i="17" s="1"/>
  <c r="I65" i="17" s="1"/>
  <c r="J65" i="17" s="1"/>
  <c r="K65" i="17" s="1"/>
  <c r="E65" i="17"/>
  <c r="D65" i="17"/>
  <c r="F64" i="17"/>
  <c r="E64" i="17"/>
  <c r="D64" i="17"/>
  <c r="F63" i="17"/>
  <c r="E63" i="17"/>
  <c r="D63" i="17"/>
  <c r="F59" i="17"/>
  <c r="E59" i="17"/>
  <c r="D59" i="17"/>
  <c r="F58" i="17"/>
  <c r="E58" i="17"/>
  <c r="D58" i="17"/>
  <c r="F57" i="17"/>
  <c r="G57" i="17" s="1"/>
  <c r="H57" i="17" s="1"/>
  <c r="I57" i="17" s="1"/>
  <c r="J57" i="17" s="1"/>
  <c r="K57" i="17" s="1"/>
  <c r="E57" i="17"/>
  <c r="D57" i="17"/>
  <c r="F56" i="17"/>
  <c r="E56" i="17"/>
  <c r="D56" i="17"/>
  <c r="F55" i="17"/>
  <c r="E55" i="17"/>
  <c r="D55" i="17"/>
  <c r="F54" i="17"/>
  <c r="E54" i="17"/>
  <c r="D54" i="17"/>
  <c r="D10" i="21" s="1"/>
  <c r="F53" i="17"/>
  <c r="E53" i="17"/>
  <c r="D53" i="17"/>
  <c r="F45" i="17"/>
  <c r="E45" i="17"/>
  <c r="D45" i="17"/>
  <c r="C45" i="17"/>
  <c r="F44" i="17"/>
  <c r="E44" i="17"/>
  <c r="D44" i="17"/>
  <c r="C44" i="17"/>
  <c r="F35" i="17"/>
  <c r="E35" i="17"/>
  <c r="D35" i="17"/>
  <c r="C35" i="17"/>
  <c r="F33" i="17"/>
  <c r="E33" i="17"/>
  <c r="D33" i="17"/>
  <c r="C33" i="17"/>
  <c r="C67" i="19" s="1"/>
  <c r="F23" i="17"/>
  <c r="E23" i="17"/>
  <c r="D23" i="17"/>
  <c r="C23" i="17"/>
  <c r="F22" i="17"/>
  <c r="E22" i="17"/>
  <c r="D22" i="17"/>
  <c r="C22" i="17"/>
  <c r="F21" i="17"/>
  <c r="E21" i="17"/>
  <c r="D21" i="17"/>
  <c r="C21" i="17"/>
  <c r="F20" i="17"/>
  <c r="E20" i="17"/>
  <c r="D20" i="17"/>
  <c r="C20" i="17"/>
  <c r="F14" i="17"/>
  <c r="E14" i="17"/>
  <c r="D14" i="17"/>
  <c r="C14" i="17"/>
  <c r="F13" i="17"/>
  <c r="E13" i="17"/>
  <c r="D13" i="17"/>
  <c r="C13" i="17"/>
  <c r="F9" i="17"/>
  <c r="E9" i="17"/>
  <c r="D9" i="17"/>
  <c r="C9" i="17"/>
  <c r="F8" i="17"/>
  <c r="F21" i="19" s="1"/>
  <c r="E8" i="17"/>
  <c r="D8" i="17"/>
  <c r="D21" i="19" s="1"/>
  <c r="C8" i="17"/>
  <c r="C21" i="19" s="1"/>
  <c r="F8" i="22"/>
  <c r="E7" i="22"/>
  <c r="D7" i="22"/>
  <c r="C7" i="22"/>
  <c r="D6" i="22"/>
  <c r="C6" i="22"/>
  <c r="E5" i="22"/>
  <c r="D5" i="22"/>
  <c r="C5" i="22"/>
  <c r="F79" i="19"/>
  <c r="E79" i="19"/>
  <c r="D79" i="19"/>
  <c r="C79" i="19"/>
  <c r="F76" i="19"/>
  <c r="E76" i="19"/>
  <c r="D76" i="19"/>
  <c r="F77" i="19"/>
  <c r="E77" i="19"/>
  <c r="D77" i="19"/>
  <c r="G74" i="19"/>
  <c r="G77" i="19" s="1"/>
  <c r="G40" i="17" s="1"/>
  <c r="H77" i="19" s="1"/>
  <c r="H40" i="17" s="1"/>
  <c r="G65" i="19"/>
  <c r="H65" i="19" s="1"/>
  <c r="I65" i="19" s="1"/>
  <c r="J65" i="19" s="1"/>
  <c r="K65" i="19" s="1"/>
  <c r="C84" i="17"/>
  <c r="C49" i="17"/>
  <c r="D4" i="17"/>
  <c r="G42" i="19"/>
  <c r="H42" i="19" s="1"/>
  <c r="I42" i="19" s="1"/>
  <c r="J42" i="19" s="1"/>
  <c r="K42" i="19" s="1"/>
  <c r="G4" i="19"/>
  <c r="H4" i="19" s="1"/>
  <c r="I4" i="19" s="1"/>
  <c r="J4" i="19" s="1"/>
  <c r="K4" i="19" s="1"/>
  <c r="G16" i="19"/>
  <c r="G21" i="19" s="1"/>
  <c r="F16" i="19"/>
  <c r="E16" i="19"/>
  <c r="D16" i="19"/>
  <c r="F7" i="19"/>
  <c r="E7" i="19"/>
  <c r="D7" i="19"/>
  <c r="F13" i="19"/>
  <c r="D13" i="19"/>
  <c r="C13" i="19"/>
  <c r="E13" i="19"/>
  <c r="H10" i="30"/>
  <c r="F10" i="30"/>
  <c r="G10" i="30"/>
  <c r="C10" i="30"/>
  <c r="D10" i="30"/>
  <c r="E10" i="30"/>
  <c r="F27" i="38" l="1" a="1"/>
  <c r="F27" i="38" s="1"/>
  <c r="F36" i="38" s="1"/>
  <c r="N20" i="38" s="1"/>
  <c r="H27" i="38" a="1"/>
  <c r="H27" i="38" s="1"/>
  <c r="H36" i="38" s="1"/>
  <c r="P20" i="38" s="1"/>
  <c r="F8" i="40"/>
  <c r="F12" i="40"/>
  <c r="F15" i="40" s="1"/>
  <c r="G8" i="40"/>
  <c r="H9" i="40"/>
  <c r="G12" i="40"/>
  <c r="G16" i="40" s="1"/>
  <c r="G10" i="40"/>
  <c r="H8" i="40"/>
  <c r="F11" i="40"/>
  <c r="F10" i="40"/>
  <c r="F9" i="40"/>
  <c r="H10" i="40"/>
  <c r="H12" i="40"/>
  <c r="H15" i="40" s="1"/>
  <c r="G11" i="40"/>
  <c r="T7" i="40"/>
  <c r="T20" i="40" s="1"/>
  <c r="T33" i="40" s="1"/>
  <c r="S20" i="40"/>
  <c r="S33" i="40" s="1"/>
  <c r="X7" i="40"/>
  <c r="Y20" i="40"/>
  <c r="Y33" i="40" s="1"/>
  <c r="L7" i="40"/>
  <c r="L20" i="40" s="1"/>
  <c r="L33" i="40" s="1"/>
  <c r="M20" i="40"/>
  <c r="M33" i="40" s="1"/>
  <c r="AE20" i="40"/>
  <c r="AE33" i="40" s="1"/>
  <c r="AF7" i="40"/>
  <c r="P34" i="18"/>
  <c r="E16" i="39"/>
  <c r="G11" i="38" s="1"/>
  <c r="E15" i="39"/>
  <c r="D15" i="39"/>
  <c r="G6" i="38" s="1"/>
  <c r="X25" i="18"/>
  <c r="X26" i="18"/>
  <c r="I15" i="22"/>
  <c r="I17" i="22" s="1"/>
  <c r="H15" i="22"/>
  <c r="H17" i="22" s="1"/>
  <c r="E6" i="22"/>
  <c r="E8" i="22" s="1"/>
  <c r="K10" i="19"/>
  <c r="F42" i="28"/>
  <c r="G50" i="35"/>
  <c r="K51" i="19" s="1"/>
  <c r="F50" i="35"/>
  <c r="J51" i="19" s="1"/>
  <c r="D46" i="17"/>
  <c r="E46" i="17"/>
  <c r="E42" i="28"/>
  <c r="F46" i="17"/>
  <c r="C53" i="21"/>
  <c r="E119" i="17"/>
  <c r="F119" i="17"/>
  <c r="G118" i="17" s="1"/>
  <c r="E27" i="21"/>
  <c r="E26" i="21" s="1"/>
  <c r="F27" i="21"/>
  <c r="F26" i="21" s="1"/>
  <c r="E37" i="28"/>
  <c r="F52" i="28"/>
  <c r="C76" i="28"/>
  <c r="D76" i="28"/>
  <c r="E76" i="28"/>
  <c r="F27" i="28"/>
  <c r="E27" i="28"/>
  <c r="F37" i="28"/>
  <c r="E10" i="21"/>
  <c r="F10" i="21"/>
  <c r="D41" i="21"/>
  <c r="E52" i="28"/>
  <c r="D15" i="34"/>
  <c r="D73" i="17" s="1"/>
  <c r="F57" i="28"/>
  <c r="G57" i="28"/>
  <c r="G58" i="28" s="1"/>
  <c r="D15" i="28"/>
  <c r="E57" i="28"/>
  <c r="G107" i="17"/>
  <c r="G10" i="34" s="1"/>
  <c r="G49" i="21" s="1"/>
  <c r="J38" i="21"/>
  <c r="H57" i="28"/>
  <c r="H58" i="28" s="1"/>
  <c r="I57" i="28"/>
  <c r="I58" i="28" s="1"/>
  <c r="E88" i="28"/>
  <c r="E105" i="17" s="1"/>
  <c r="E109" i="17" s="1"/>
  <c r="G94" i="28"/>
  <c r="J107" i="17"/>
  <c r="J10" i="34" s="1"/>
  <c r="J49" i="21" s="1"/>
  <c r="I107" i="17"/>
  <c r="I10" i="34" s="1"/>
  <c r="I49" i="21" s="1"/>
  <c r="H107" i="17"/>
  <c r="H10" i="34" s="1"/>
  <c r="H49" i="21" s="1"/>
  <c r="F88" i="28"/>
  <c r="F105" i="17" s="1"/>
  <c r="F109" i="17" s="1"/>
  <c r="G91" i="28"/>
  <c r="H91" i="28" s="1"/>
  <c r="I91" i="28" s="1"/>
  <c r="J91" i="28" s="1"/>
  <c r="K91" i="28" s="1"/>
  <c r="E32" i="28"/>
  <c r="E47" i="28"/>
  <c r="D88" i="28"/>
  <c r="D105" i="17" s="1"/>
  <c r="D109" i="17" s="1"/>
  <c r="C11" i="30"/>
  <c r="D27" i="30"/>
  <c r="H11" i="30"/>
  <c r="G11" i="30"/>
  <c r="D11" i="30"/>
  <c r="E11" i="30"/>
  <c r="F11" i="30"/>
  <c r="C88" i="28"/>
  <c r="C105" i="17" s="1"/>
  <c r="C109" i="17" s="1"/>
  <c r="E15" i="28"/>
  <c r="G101" i="17"/>
  <c r="H80" i="28"/>
  <c r="E7" i="28"/>
  <c r="E16" i="21" s="1"/>
  <c r="F22" i="28"/>
  <c r="D7" i="28"/>
  <c r="F7" i="28"/>
  <c r="F16" i="21" s="1"/>
  <c r="E65" i="28"/>
  <c r="E88" i="17"/>
  <c r="D65" i="28"/>
  <c r="C65" i="28"/>
  <c r="C7" i="28"/>
  <c r="F65" i="28"/>
  <c r="G6" i="28"/>
  <c r="G88" i="17" s="1"/>
  <c r="F47" i="28"/>
  <c r="E22" i="28"/>
  <c r="F32" i="28"/>
  <c r="E62" i="28"/>
  <c r="F62" i="28"/>
  <c r="J12" i="29"/>
  <c r="E12" i="29"/>
  <c r="F12" i="29"/>
  <c r="G12" i="29"/>
  <c r="H12" i="29"/>
  <c r="I12" i="29"/>
  <c r="K12" i="29"/>
  <c r="F15" i="28"/>
  <c r="G15" i="28" s="1"/>
  <c r="E9" i="26"/>
  <c r="G9" i="26"/>
  <c r="F9" i="26"/>
  <c r="H9" i="26"/>
  <c r="K9" i="26"/>
  <c r="I9" i="26"/>
  <c r="J9" i="26"/>
  <c r="E10" i="17"/>
  <c r="E32" i="21"/>
  <c r="F32" i="21"/>
  <c r="D32" i="21"/>
  <c r="E15" i="17"/>
  <c r="E41" i="21"/>
  <c r="D71" i="17"/>
  <c r="E21" i="19"/>
  <c r="E18" i="19" s="1"/>
  <c r="C8" i="22"/>
  <c r="D8" i="22"/>
  <c r="E71" i="17"/>
  <c r="E24" i="17"/>
  <c r="E102" i="17"/>
  <c r="E4" i="17"/>
  <c r="I77" i="19"/>
  <c r="I40" i="17" s="1"/>
  <c r="G115" i="17"/>
  <c r="D18" i="19"/>
  <c r="D12" i="19"/>
  <c r="D49" i="17"/>
  <c r="D84" i="17"/>
  <c r="E12" i="19"/>
  <c r="F12" i="19"/>
  <c r="F18" i="19"/>
  <c r="D40" i="19"/>
  <c r="C34" i="19"/>
  <c r="C40" i="19"/>
  <c r="E23" i="19"/>
  <c r="D34" i="19"/>
  <c r="E34" i="19"/>
  <c r="E40" i="19"/>
  <c r="C23" i="19"/>
  <c r="D23" i="19"/>
  <c r="F34" i="19"/>
  <c r="F23" i="19"/>
  <c r="F40" i="19"/>
  <c r="F102" i="17"/>
  <c r="F15" i="17"/>
  <c r="F24" i="17"/>
  <c r="F33" i="21" s="1"/>
  <c r="F10" i="17"/>
  <c r="F26" i="19" s="1"/>
  <c r="F71" i="17"/>
  <c r="D24" i="17"/>
  <c r="D33" i="21" s="1"/>
  <c r="C24" i="17"/>
  <c r="C12" i="28" s="1"/>
  <c r="D15" i="17"/>
  <c r="C10" i="17"/>
  <c r="C26" i="19" s="1"/>
  <c r="D10" i="17"/>
  <c r="D26" i="19" s="1"/>
  <c r="C15" i="17"/>
  <c r="D102" i="17"/>
  <c r="C102" i="17"/>
  <c r="H13" i="40" l="1"/>
  <c r="G13" i="40"/>
  <c r="G19" i="40" s="1"/>
  <c r="G20" i="40" s="1"/>
  <c r="G21" i="40" s="1"/>
  <c r="G15" i="40"/>
  <c r="F16" i="40"/>
  <c r="H16" i="40"/>
  <c r="F13" i="40"/>
  <c r="O20" i="38"/>
  <c r="AF20" i="40"/>
  <c r="AF33" i="40" s="1"/>
  <c r="U32" i="38"/>
  <c r="X20" i="40"/>
  <c r="X33" i="40" s="1"/>
  <c r="M32" i="38"/>
  <c r="H6" i="38"/>
  <c r="F6" i="38"/>
  <c r="H11" i="38"/>
  <c r="F11" i="38"/>
  <c r="G37" i="19"/>
  <c r="H37" i="19" s="1"/>
  <c r="D73" i="28"/>
  <c r="D14" i="21"/>
  <c r="C73" i="28"/>
  <c r="C14" i="21"/>
  <c r="E73" i="28"/>
  <c r="E14" i="21"/>
  <c r="E15" i="21" s="1"/>
  <c r="D67" i="19"/>
  <c r="E60" i="17"/>
  <c r="E67" i="19"/>
  <c r="F60" i="17"/>
  <c r="D60" i="17"/>
  <c r="F67" i="19"/>
  <c r="E75" i="28"/>
  <c r="D75" i="28"/>
  <c r="C75" i="28"/>
  <c r="F76" i="28"/>
  <c r="F75" i="28" s="1"/>
  <c r="H19" i="21"/>
  <c r="I19" i="21" s="1"/>
  <c r="J19" i="21" s="1"/>
  <c r="K19" i="21" s="1"/>
  <c r="G56" i="17"/>
  <c r="G25" i="21"/>
  <c r="G27" i="21" s="1"/>
  <c r="G41" i="21"/>
  <c r="G70" i="17" s="1"/>
  <c r="E6" i="34"/>
  <c r="D53" i="21"/>
  <c r="J39" i="21"/>
  <c r="J69" i="17" s="1"/>
  <c r="J57" i="28" s="1"/>
  <c r="J58" i="28" s="1"/>
  <c r="K38" i="21"/>
  <c r="K39" i="21" s="1"/>
  <c r="K69" i="17" s="1"/>
  <c r="D20" i="30"/>
  <c r="D21" i="30" s="1"/>
  <c r="D29" i="30" s="1"/>
  <c r="E17" i="30" s="1"/>
  <c r="H94" i="28"/>
  <c r="I94" i="28" s="1"/>
  <c r="J94" i="28" s="1"/>
  <c r="K94" i="28" s="1"/>
  <c r="E26" i="19"/>
  <c r="E29" i="19" s="1"/>
  <c r="E8" i="21"/>
  <c r="F8" i="21"/>
  <c r="G8" i="21" s="1"/>
  <c r="D8" i="21"/>
  <c r="I80" i="28"/>
  <c r="H101" i="17"/>
  <c r="D12" i="28"/>
  <c r="D10" i="28" s="1"/>
  <c r="F12" i="28"/>
  <c r="G12" i="28" s="1"/>
  <c r="H12" i="28" s="1"/>
  <c r="I12" i="28" s="1"/>
  <c r="J12" i="28" s="1"/>
  <c r="K12" i="28" s="1"/>
  <c r="H15" i="28"/>
  <c r="E35" i="21"/>
  <c r="E12" i="28"/>
  <c r="E17" i="17"/>
  <c r="E26" i="17" s="1"/>
  <c r="E27" i="17" s="1"/>
  <c r="G32" i="21"/>
  <c r="H32" i="21" s="1"/>
  <c r="I32" i="21" s="1"/>
  <c r="F35" i="21"/>
  <c r="G35" i="21" s="1"/>
  <c r="H35" i="21" s="1"/>
  <c r="I35" i="21" s="1"/>
  <c r="J35" i="21" s="1"/>
  <c r="K35" i="21" s="1"/>
  <c r="E33" i="21"/>
  <c r="D35" i="21"/>
  <c r="E49" i="17"/>
  <c r="E84" i="17"/>
  <c r="F4" i="17"/>
  <c r="J77" i="19"/>
  <c r="J40" i="17" s="1"/>
  <c r="D29" i="19"/>
  <c r="F28" i="19"/>
  <c r="F24" i="19"/>
  <c r="E24" i="19"/>
  <c r="D24" i="19"/>
  <c r="C24" i="19"/>
  <c r="G54" i="17"/>
  <c r="G8" i="17"/>
  <c r="C52" i="19"/>
  <c r="C53" i="19" s="1"/>
  <c r="C61" i="19"/>
  <c r="C62" i="19" s="1"/>
  <c r="C47" i="19"/>
  <c r="C48" i="19" s="1"/>
  <c r="C58" i="19"/>
  <c r="C59" i="19" s="1"/>
  <c r="E52" i="19"/>
  <c r="E61" i="19"/>
  <c r="E47" i="19"/>
  <c r="E58" i="19"/>
  <c r="F61" i="19"/>
  <c r="F62" i="19" s="1"/>
  <c r="F47" i="19"/>
  <c r="G47" i="19" s="1"/>
  <c r="H47" i="19" s="1"/>
  <c r="I47" i="19" s="1"/>
  <c r="J47" i="19" s="1"/>
  <c r="K47" i="19" s="1"/>
  <c r="F58" i="19"/>
  <c r="F59" i="19" s="1"/>
  <c r="F52" i="19"/>
  <c r="G52" i="19" s="1"/>
  <c r="H52" i="19" s="1"/>
  <c r="I52" i="19" s="1"/>
  <c r="J52" i="19" s="1"/>
  <c r="K52" i="19" s="1"/>
  <c r="D52" i="19"/>
  <c r="D61" i="19"/>
  <c r="D62" i="19" s="1"/>
  <c r="D47" i="19"/>
  <c r="D58" i="19"/>
  <c r="F17" i="17"/>
  <c r="D17" i="17"/>
  <c r="D26" i="17" s="1"/>
  <c r="D29" i="17" s="1"/>
  <c r="C17" i="17"/>
  <c r="C26" i="17" s="1"/>
  <c r="C29" i="17" s="1"/>
  <c r="H19" i="40" l="1"/>
  <c r="H20" i="40" s="1"/>
  <c r="H21" i="40" s="1"/>
  <c r="F19" i="40"/>
  <c r="F20" i="40" s="1"/>
  <c r="F21" i="40" s="1"/>
  <c r="C30" i="17"/>
  <c r="F26" i="37"/>
  <c r="D30" i="17"/>
  <c r="G26" i="37"/>
  <c r="G13" i="17"/>
  <c r="G40" i="19"/>
  <c r="F53" i="19"/>
  <c r="F48" i="19"/>
  <c r="I37" i="19"/>
  <c r="H40" i="19"/>
  <c r="F73" i="28"/>
  <c r="G73" i="28" s="1"/>
  <c r="H73" i="28" s="1"/>
  <c r="I73" i="28" s="1"/>
  <c r="J73" i="28" s="1"/>
  <c r="K73" i="28" s="1"/>
  <c r="F14" i="21"/>
  <c r="F15" i="21" s="1"/>
  <c r="G75" i="28"/>
  <c r="H75" i="28" s="1"/>
  <c r="I75" i="28" s="1"/>
  <c r="J75" i="28" s="1"/>
  <c r="K75" i="28" s="1"/>
  <c r="G58" i="17"/>
  <c r="H21" i="21"/>
  <c r="H41" i="21"/>
  <c r="H70" i="17" s="1"/>
  <c r="E28" i="19"/>
  <c r="F29" i="19"/>
  <c r="E59" i="19"/>
  <c r="E62" i="19"/>
  <c r="H25" i="21"/>
  <c r="H27" i="21" s="1"/>
  <c r="G90" i="17"/>
  <c r="G27" i="28" s="1"/>
  <c r="G28" i="28" s="1"/>
  <c r="G37" i="28"/>
  <c r="G38" i="28" s="1"/>
  <c r="E46" i="21"/>
  <c r="E15" i="34"/>
  <c r="E73" i="17" s="1"/>
  <c r="E74" i="17" s="1"/>
  <c r="E76" i="17" s="1"/>
  <c r="E78" i="17" s="1"/>
  <c r="K57" i="28"/>
  <c r="K58" i="28" s="1"/>
  <c r="E20" i="30"/>
  <c r="E21" i="30" s="1"/>
  <c r="D25" i="30"/>
  <c r="G93" i="28" s="1"/>
  <c r="K107" i="17" s="1"/>
  <c r="K10" i="34" s="1"/>
  <c r="K49" i="21" s="1"/>
  <c r="D45" i="19"/>
  <c r="E27" i="30"/>
  <c r="F7" i="21"/>
  <c r="E7" i="21"/>
  <c r="J80" i="28"/>
  <c r="I101" i="17"/>
  <c r="E10" i="28"/>
  <c r="F10" i="28"/>
  <c r="I15" i="28"/>
  <c r="E34" i="17"/>
  <c r="E36" i="17" s="1"/>
  <c r="E29" i="17"/>
  <c r="J32" i="21"/>
  <c r="D56" i="19"/>
  <c r="D55" i="19" s="1"/>
  <c r="G4" i="17"/>
  <c r="F84" i="17"/>
  <c r="F49" i="17"/>
  <c r="K77" i="19"/>
  <c r="K40" i="17" s="1"/>
  <c r="D50" i="19"/>
  <c r="E50" i="19"/>
  <c r="D59" i="19"/>
  <c r="E45" i="19"/>
  <c r="D48" i="19"/>
  <c r="F50" i="19"/>
  <c r="F56" i="19"/>
  <c r="E53" i="19"/>
  <c r="F45" i="19"/>
  <c r="E48" i="19"/>
  <c r="E56" i="19"/>
  <c r="E55" i="19" s="1"/>
  <c r="D53" i="19"/>
  <c r="G24" i="19"/>
  <c r="C34" i="17"/>
  <c r="C27" i="17"/>
  <c r="D34" i="17"/>
  <c r="D27" i="17"/>
  <c r="F26" i="17"/>
  <c r="E30" i="17" l="1"/>
  <c r="H26" i="37"/>
  <c r="H31" i="37" s="1"/>
  <c r="G31" i="37"/>
  <c r="G7" i="38"/>
  <c r="G8" i="38" s="1"/>
  <c r="G9" i="38" s="1"/>
  <c r="G32" i="38" s="1"/>
  <c r="F7" i="38"/>
  <c r="F8" i="38" s="1"/>
  <c r="F9" i="38" s="1"/>
  <c r="F32" i="38" s="1"/>
  <c r="H7" i="38"/>
  <c r="H8" i="38" s="1"/>
  <c r="H9" i="38" s="1"/>
  <c r="H32" i="38" s="1"/>
  <c r="G14" i="21"/>
  <c r="H14" i="21" s="1"/>
  <c r="I14" i="21" s="1"/>
  <c r="J14" i="21" s="1"/>
  <c r="K14" i="21" s="1"/>
  <c r="F55" i="19"/>
  <c r="E37" i="17"/>
  <c r="J37" i="19"/>
  <c r="I40" i="19"/>
  <c r="H56" i="17"/>
  <c r="H37" i="28" s="1"/>
  <c r="H38" i="28" s="1"/>
  <c r="I21" i="21"/>
  <c r="I41" i="21"/>
  <c r="J41" i="21" s="1"/>
  <c r="K41" i="21" s="1"/>
  <c r="H58" i="17"/>
  <c r="I25" i="21"/>
  <c r="I27" i="21" s="1"/>
  <c r="H8" i="21"/>
  <c r="I8" i="21" s="1"/>
  <c r="J8" i="21" s="1"/>
  <c r="K8" i="21" s="1"/>
  <c r="F6" i="34"/>
  <c r="E53" i="21"/>
  <c r="E25" i="30"/>
  <c r="H93" i="28" s="1"/>
  <c r="F20" i="30"/>
  <c r="E29" i="30"/>
  <c r="F17" i="30" s="1"/>
  <c r="K80" i="28"/>
  <c r="K101" i="17" s="1"/>
  <c r="K25" i="21" s="1"/>
  <c r="K27" i="21" s="1"/>
  <c r="J101" i="17"/>
  <c r="E87" i="17"/>
  <c r="E94" i="17" s="1"/>
  <c r="E113" i="17" s="1"/>
  <c r="H41" i="37" s="1"/>
  <c r="H46" i="37" s="1"/>
  <c r="J15" i="28"/>
  <c r="K32" i="21"/>
  <c r="H4" i="17"/>
  <c r="G49" i="17"/>
  <c r="G84" i="17"/>
  <c r="I54" i="17"/>
  <c r="H54" i="17"/>
  <c r="H14" i="19"/>
  <c r="G26" i="19"/>
  <c r="G62" i="19" s="1"/>
  <c r="G9" i="17"/>
  <c r="F34" i="17"/>
  <c r="F29" i="17"/>
  <c r="D36" i="17"/>
  <c r="C36" i="17"/>
  <c r="C87" i="17" s="1"/>
  <c r="C94" i="17" s="1"/>
  <c r="C113" i="17" s="1"/>
  <c r="F41" i="37" s="1"/>
  <c r="F46" i="37" s="1"/>
  <c r="F27" i="17"/>
  <c r="P16" i="38" l="1"/>
  <c r="N16" i="38"/>
  <c r="F30" i="17"/>
  <c r="C10" i="39"/>
  <c r="C16" i="39" s="1"/>
  <c r="C21" i="38"/>
  <c r="I26" i="37"/>
  <c r="I31" i="37" s="1"/>
  <c r="K37" i="19"/>
  <c r="K40" i="19" s="1"/>
  <c r="J40" i="19"/>
  <c r="I70" i="17"/>
  <c r="J21" i="21"/>
  <c r="I56" i="17"/>
  <c r="I37" i="28" s="1"/>
  <c r="I38" i="28" s="1"/>
  <c r="I58" i="17"/>
  <c r="J25" i="21"/>
  <c r="J27" i="21" s="1"/>
  <c r="H90" i="17"/>
  <c r="H27" i="28" s="1"/>
  <c r="H28" i="28" s="1"/>
  <c r="I90" i="17"/>
  <c r="I27" i="28" s="1"/>
  <c r="I28" i="28" s="1"/>
  <c r="K70" i="17"/>
  <c r="F46" i="21"/>
  <c r="F15" i="34"/>
  <c r="F73" i="17" s="1"/>
  <c r="F74" i="17" s="1"/>
  <c r="F76" i="17" s="1"/>
  <c r="F78" i="17" s="1"/>
  <c r="I16" i="19"/>
  <c r="H68" i="17"/>
  <c r="G20" i="30"/>
  <c r="G21" i="30" s="1"/>
  <c r="G25" i="30" s="1"/>
  <c r="J93" i="28" s="1"/>
  <c r="F21" i="30"/>
  <c r="F27" i="30"/>
  <c r="K15" i="28"/>
  <c r="D87" i="17"/>
  <c r="D94" i="17" s="1"/>
  <c r="D113" i="17" s="1"/>
  <c r="G41" i="37" s="1"/>
  <c r="G46" i="37" s="1"/>
  <c r="I4" i="17"/>
  <c r="H49" i="17"/>
  <c r="H84" i="17"/>
  <c r="I14" i="19"/>
  <c r="J14" i="19"/>
  <c r="C37" i="17"/>
  <c r="G53" i="19"/>
  <c r="G48" i="19"/>
  <c r="G10" i="17"/>
  <c r="J11" i="37" s="1"/>
  <c r="G14" i="17"/>
  <c r="G15" i="17" s="1"/>
  <c r="G28" i="19"/>
  <c r="G29" i="19"/>
  <c r="G56" i="19" s="1"/>
  <c r="G58" i="19" s="1"/>
  <c r="F36" i="17"/>
  <c r="D37" i="17"/>
  <c r="J16" i="37" l="1"/>
  <c r="O16" i="38"/>
  <c r="G12" i="38"/>
  <c r="H12" i="38"/>
  <c r="G23" i="17"/>
  <c r="G21" i="17"/>
  <c r="G20" i="17"/>
  <c r="G53" i="17"/>
  <c r="G23" i="28" s="1"/>
  <c r="I21" i="19"/>
  <c r="I24" i="19" s="1"/>
  <c r="K21" i="21"/>
  <c r="K56" i="17" s="1"/>
  <c r="J56" i="17"/>
  <c r="J37" i="28" s="1"/>
  <c r="J38" i="28" s="1"/>
  <c r="J58" i="17"/>
  <c r="G6" i="34"/>
  <c r="F53" i="21"/>
  <c r="J16" i="19"/>
  <c r="I68" i="17"/>
  <c r="K16" i="19"/>
  <c r="J68" i="17"/>
  <c r="F29" i="30"/>
  <c r="G17" i="30" s="1"/>
  <c r="G27" i="30" s="1"/>
  <c r="G29" i="30" s="1"/>
  <c r="C5" i="30"/>
  <c r="F25" i="30"/>
  <c r="I93" i="28" s="1"/>
  <c r="F87" i="17"/>
  <c r="F94" i="17" s="1"/>
  <c r="F113" i="17" s="1"/>
  <c r="J4" i="17"/>
  <c r="I49" i="17"/>
  <c r="I84" i="17"/>
  <c r="K14" i="19"/>
  <c r="K68" i="17" s="1"/>
  <c r="J54" i="17"/>
  <c r="G17" i="17"/>
  <c r="F37" i="17"/>
  <c r="C23" i="38" l="1"/>
  <c r="I41" i="37"/>
  <c r="I46" i="37" s="1"/>
  <c r="I8" i="17"/>
  <c r="I13" i="17" s="1"/>
  <c r="I9" i="17"/>
  <c r="I14" i="17" s="1"/>
  <c r="I26" i="19"/>
  <c r="J21" i="19"/>
  <c r="J24" i="19" s="1"/>
  <c r="K21" i="19"/>
  <c r="K24" i="19" s="1"/>
  <c r="K9" i="17" s="1"/>
  <c r="K14" i="17" s="1"/>
  <c r="K54" i="17"/>
  <c r="K90" i="17" s="1"/>
  <c r="K27" i="28" s="1"/>
  <c r="K28" i="28" s="1"/>
  <c r="K58" i="17"/>
  <c r="K62" i="28"/>
  <c r="J90" i="17"/>
  <c r="J27" i="28" s="1"/>
  <c r="J28" i="28" s="1"/>
  <c r="I63" i="28"/>
  <c r="J62" i="28"/>
  <c r="I62" i="28"/>
  <c r="K37" i="28"/>
  <c r="K38" i="28" s="1"/>
  <c r="G46" i="21"/>
  <c r="K63" i="28"/>
  <c r="J63" i="28"/>
  <c r="J84" i="17"/>
  <c r="K4" i="17"/>
  <c r="J49" i="17"/>
  <c r="I48" i="19" l="1"/>
  <c r="I20" i="17" s="1"/>
  <c r="I62" i="19"/>
  <c r="I23" i="17" s="1"/>
  <c r="G59" i="19"/>
  <c r="J8" i="17"/>
  <c r="J13" i="17" s="1"/>
  <c r="I53" i="19"/>
  <c r="I21" i="17" s="1"/>
  <c r="I15" i="17"/>
  <c r="I10" i="17"/>
  <c r="L11" i="37" s="1"/>
  <c r="J9" i="17"/>
  <c r="J14" i="17" s="1"/>
  <c r="J26" i="19"/>
  <c r="K8" i="17"/>
  <c r="K13" i="17" s="1"/>
  <c r="K15" i="17" s="1"/>
  <c r="K26" i="19"/>
  <c r="K62" i="19" s="1"/>
  <c r="K84" i="17"/>
  <c r="K49" i="17"/>
  <c r="J53" i="19" l="1"/>
  <c r="J21" i="17" s="1"/>
  <c r="J62" i="19"/>
  <c r="J23" i="17" s="1"/>
  <c r="G22" i="17"/>
  <c r="G63" i="17" s="1"/>
  <c r="G42" i="28" s="1"/>
  <c r="J29" i="19"/>
  <c r="J56" i="19" s="1"/>
  <c r="J15" i="17"/>
  <c r="J10" i="17"/>
  <c r="M11" i="37" s="1"/>
  <c r="J48" i="19"/>
  <c r="J20" i="17" s="1"/>
  <c r="K10" i="17"/>
  <c r="N11" i="37" s="1"/>
  <c r="I17" i="17"/>
  <c r="I53" i="17"/>
  <c r="K23" i="17"/>
  <c r="K29" i="19"/>
  <c r="K56" i="19" s="1"/>
  <c r="K53" i="19"/>
  <c r="K21" i="17" s="1"/>
  <c r="K48" i="19"/>
  <c r="K20" i="17" s="1"/>
  <c r="G14" i="19"/>
  <c r="M16" i="37" l="1"/>
  <c r="N16" i="37"/>
  <c r="K53" i="17"/>
  <c r="J53" i="17"/>
  <c r="J23" i="28" s="1"/>
  <c r="G24" i="17"/>
  <c r="J21" i="37" s="1"/>
  <c r="G43" i="28"/>
  <c r="J17" i="17"/>
  <c r="K17" i="17"/>
  <c r="H16" i="19"/>
  <c r="G68" i="17"/>
  <c r="J70" i="17"/>
  <c r="G26" i="17" l="1"/>
  <c r="G27" i="17" s="1"/>
  <c r="K23" i="28"/>
  <c r="G89" i="17"/>
  <c r="G9" i="34" s="1"/>
  <c r="G48" i="21" s="1"/>
  <c r="G76" i="28"/>
  <c r="G72" i="28" s="1"/>
  <c r="G98" i="17" s="1"/>
  <c r="G15" i="21"/>
  <c r="G59" i="17" s="1"/>
  <c r="G67" i="17"/>
  <c r="G47" i="28" s="1"/>
  <c r="G48" i="28" s="1"/>
  <c r="G64" i="17"/>
  <c r="G52" i="28" s="1"/>
  <c r="G53" i="28" s="1"/>
  <c r="H21" i="19"/>
  <c r="H8" i="17" s="1"/>
  <c r="H13" i="17" s="1"/>
  <c r="H62" i="28"/>
  <c r="G62" i="28"/>
  <c r="H63" i="28"/>
  <c r="G63" i="28"/>
  <c r="G29" i="17" l="1"/>
  <c r="G71" i="17"/>
  <c r="G17" i="21"/>
  <c r="H13" i="21" s="1"/>
  <c r="G74" i="28"/>
  <c r="G99" i="17" s="1"/>
  <c r="G102" i="17" s="1"/>
  <c r="G106" i="17"/>
  <c r="G109" i="17" s="1"/>
  <c r="H24" i="19"/>
  <c r="H9" i="17" s="1"/>
  <c r="H14" i="17" s="1"/>
  <c r="H15" i="17" s="1"/>
  <c r="H13" i="38" l="1"/>
  <c r="H14" i="38" s="1"/>
  <c r="H33" i="38" s="1"/>
  <c r="F12" i="38"/>
  <c r="F13" i="38" s="1"/>
  <c r="F14" i="38" s="1"/>
  <c r="F33" i="38" s="1"/>
  <c r="G13" i="38"/>
  <c r="G14" i="38" s="1"/>
  <c r="G33" i="38" s="1"/>
  <c r="G37" i="38" s="1"/>
  <c r="G30" i="17"/>
  <c r="J26" i="37"/>
  <c r="G11" i="34"/>
  <c r="G50" i="21" s="1"/>
  <c r="G55" i="17"/>
  <c r="G32" i="28" s="1"/>
  <c r="G33" i="28" s="1"/>
  <c r="G66" i="28" s="1"/>
  <c r="G93" i="17" s="1"/>
  <c r="H10" i="17"/>
  <c r="K11" i="37" s="1"/>
  <c r="H26" i="19"/>
  <c r="H62" i="19" s="1"/>
  <c r="J31" i="37" l="1"/>
  <c r="N17" i="38"/>
  <c r="F37" i="38"/>
  <c r="P17" i="38"/>
  <c r="H37" i="38"/>
  <c r="K16" i="37"/>
  <c r="L16" i="37"/>
  <c r="H23" i="17"/>
  <c r="H53" i="17"/>
  <c r="H23" i="28" s="1"/>
  <c r="H29" i="19"/>
  <c r="H56" i="19" s="1"/>
  <c r="H58" i="19" s="1"/>
  <c r="H53" i="19"/>
  <c r="H48" i="19"/>
  <c r="I29" i="19"/>
  <c r="I56" i="19" s="1"/>
  <c r="H17" i="17"/>
  <c r="O17" i="38" l="1"/>
  <c r="AM5" i="18" a="1"/>
  <c r="AM5" i="18" s="1"/>
  <c r="I58" i="19"/>
  <c r="J58" i="19" s="1"/>
  <c r="K58" i="19" s="1"/>
  <c r="H21" i="17"/>
  <c r="H20" i="17"/>
  <c r="I23" i="28"/>
  <c r="C16" i="37" l="1"/>
  <c r="C7" i="18" s="1" a="1"/>
  <c r="C7" i="18" s="1"/>
  <c r="AN6" i="18" a="1"/>
  <c r="AN6" i="18" s="1"/>
  <c r="I59" i="19"/>
  <c r="I22" i="17" s="1"/>
  <c r="I24" i="17" s="1"/>
  <c r="L21" i="37" s="1"/>
  <c r="H59" i="19"/>
  <c r="J59" i="19"/>
  <c r="J22" i="17" s="1"/>
  <c r="H22" i="17" l="1"/>
  <c r="H24" i="17" s="1"/>
  <c r="K21" i="37" s="1"/>
  <c r="I64" i="17"/>
  <c r="I26" i="17"/>
  <c r="I15" i="21"/>
  <c r="I76" i="28"/>
  <c r="I74" i="28" s="1"/>
  <c r="I99" i="17" s="1"/>
  <c r="I89" i="17"/>
  <c r="I106" i="17" s="1"/>
  <c r="I11" i="34" s="1"/>
  <c r="I50" i="21" s="1"/>
  <c r="I63" i="17"/>
  <c r="I67" i="17"/>
  <c r="K59" i="19"/>
  <c r="J24" i="17"/>
  <c r="M21" i="37" s="1"/>
  <c r="J63" i="17"/>
  <c r="H63" i="17" l="1"/>
  <c r="I42" i="28" s="1"/>
  <c r="K22" i="17"/>
  <c r="K63" i="17" s="1"/>
  <c r="K42" i="28" s="1"/>
  <c r="K43" i="28" s="1"/>
  <c r="I72" i="28"/>
  <c r="I98" i="17" s="1"/>
  <c r="I7" i="28" s="1"/>
  <c r="I9" i="34"/>
  <c r="I48" i="21" s="1"/>
  <c r="I27" i="17"/>
  <c r="I71" i="17"/>
  <c r="H26" i="17"/>
  <c r="H67" i="17"/>
  <c r="H64" i="17"/>
  <c r="H89" i="17"/>
  <c r="H76" i="28"/>
  <c r="H15" i="21"/>
  <c r="J89" i="17"/>
  <c r="J106" i="17" s="1"/>
  <c r="J11" i="34" s="1"/>
  <c r="J50" i="21" s="1"/>
  <c r="J76" i="28"/>
  <c r="J15" i="21"/>
  <c r="J43" i="28"/>
  <c r="J42" i="28"/>
  <c r="J26" i="17"/>
  <c r="J67" i="17"/>
  <c r="J64" i="17"/>
  <c r="H42" i="28" l="1"/>
  <c r="H43" i="28"/>
  <c r="I43" i="28"/>
  <c r="K24" i="17"/>
  <c r="I102" i="17"/>
  <c r="H71" i="17"/>
  <c r="H72" i="28"/>
  <c r="H98" i="17" s="1"/>
  <c r="H74" i="28"/>
  <c r="H99" i="17" s="1"/>
  <c r="H9" i="34"/>
  <c r="H48" i="21" s="1"/>
  <c r="H106" i="17"/>
  <c r="H11" i="34" s="1"/>
  <c r="H50" i="21" s="1"/>
  <c r="H47" i="28"/>
  <c r="H48" i="28" s="1"/>
  <c r="I47" i="28"/>
  <c r="I48" i="28" s="1"/>
  <c r="H27" i="17"/>
  <c r="I52" i="28"/>
  <c r="I53" i="28" s="1"/>
  <c r="H52" i="28"/>
  <c r="H53" i="28" s="1"/>
  <c r="J9" i="34"/>
  <c r="J48" i="21" s="1"/>
  <c r="J74" i="28"/>
  <c r="J99" i="17" s="1"/>
  <c r="J72" i="28"/>
  <c r="J98" i="17" s="1"/>
  <c r="I6" i="28"/>
  <c r="I88" i="17" s="1"/>
  <c r="I29" i="17" s="1"/>
  <c r="L26" i="37" s="1"/>
  <c r="I16" i="21"/>
  <c r="J52" i="28"/>
  <c r="J53" i="28" s="1"/>
  <c r="J71" i="17"/>
  <c r="J47" i="28"/>
  <c r="J48" i="28" s="1"/>
  <c r="J27" i="17"/>
  <c r="N21" i="37" l="1"/>
  <c r="I30" i="17"/>
  <c r="K64" i="17"/>
  <c r="K52" i="28" s="1"/>
  <c r="K53" i="28" s="1"/>
  <c r="K89" i="17"/>
  <c r="K106" i="17" s="1"/>
  <c r="K11" i="34" s="1"/>
  <c r="K50" i="21" s="1"/>
  <c r="K26" i="17"/>
  <c r="K67" i="17"/>
  <c r="K15" i="21"/>
  <c r="K76" i="28"/>
  <c r="K74" i="28" s="1"/>
  <c r="K99" i="17" s="1"/>
  <c r="H102" i="17"/>
  <c r="H7" i="28"/>
  <c r="J7" i="28"/>
  <c r="J102" i="17"/>
  <c r="C21" i="37" l="1"/>
  <c r="C8" i="18" s="1" a="1"/>
  <c r="C8" i="18" s="1"/>
  <c r="AQ18" i="18" a="1"/>
  <c r="AQ18" i="18" s="1"/>
  <c r="K27" i="17"/>
  <c r="K71" i="17"/>
  <c r="K9" i="34"/>
  <c r="K48" i="21" s="1"/>
  <c r="K47" i="28"/>
  <c r="K48" i="28" s="1"/>
  <c r="K72" i="28"/>
  <c r="K98" i="17" s="1"/>
  <c r="K102" i="17" s="1"/>
  <c r="H6" i="28"/>
  <c r="H88" i="17" s="1"/>
  <c r="H29" i="17" s="1"/>
  <c r="K26" i="37" s="1"/>
  <c r="H16" i="21"/>
  <c r="J6" i="28"/>
  <c r="J88" i="17" s="1"/>
  <c r="J29" i="17" s="1"/>
  <c r="M26" i="37" s="1"/>
  <c r="J16" i="21"/>
  <c r="D74" i="17"/>
  <c r="D76" i="17" s="1"/>
  <c r="D78" i="17" s="1"/>
  <c r="H30" i="17" l="1"/>
  <c r="J30" i="17"/>
  <c r="M31" i="37"/>
  <c r="K7" i="28"/>
  <c r="K16" i="21" s="1"/>
  <c r="H17" i="21"/>
  <c r="H59" i="17"/>
  <c r="I59" i="17" s="1"/>
  <c r="J59" i="17" s="1"/>
  <c r="G34" i="17"/>
  <c r="G36" i="17" s="1"/>
  <c r="C13" i="39" l="1"/>
  <c r="C17" i="39" s="1"/>
  <c r="C25" i="38" s="1"/>
  <c r="K31" i="37"/>
  <c r="L31" i="37"/>
  <c r="K6" i="28"/>
  <c r="K88" i="17" s="1"/>
  <c r="K29" i="17" s="1"/>
  <c r="N26" i="37" s="1"/>
  <c r="K59" i="17"/>
  <c r="I13" i="21"/>
  <c r="I17" i="21" s="1"/>
  <c r="H55" i="17"/>
  <c r="H32" i="28" s="1"/>
  <c r="H33" i="28" s="1"/>
  <c r="H66" i="28" s="1"/>
  <c r="H93" i="17" s="1"/>
  <c r="G8" i="34"/>
  <c r="G41" i="17"/>
  <c r="G45" i="17" s="1"/>
  <c r="G44" i="17"/>
  <c r="J36" i="37" s="1"/>
  <c r="G37" i="17"/>
  <c r="G87" i="17"/>
  <c r="G94" i="17" s="1"/>
  <c r="G113" i="17" s="1"/>
  <c r="J41" i="37" l="1"/>
  <c r="K30" i="17"/>
  <c r="D17" i="36"/>
  <c r="G46" i="17"/>
  <c r="J13" i="21"/>
  <c r="J17" i="21" s="1"/>
  <c r="I55" i="17"/>
  <c r="I32" i="28" s="1"/>
  <c r="I33" i="28" s="1"/>
  <c r="I66" i="28" s="1"/>
  <c r="I93" i="17" s="1"/>
  <c r="G119" i="17"/>
  <c r="G116" i="17"/>
  <c r="H115" i="17" s="1"/>
  <c r="G47" i="21"/>
  <c r="G15" i="34"/>
  <c r="J46" i="37" l="1"/>
  <c r="N31" i="37"/>
  <c r="AQ5" i="18" a="1"/>
  <c r="AQ5" i="18" s="1"/>
  <c r="J55" i="17"/>
  <c r="K13" i="21"/>
  <c r="K17" i="21" s="1"/>
  <c r="K55" i="17" s="1"/>
  <c r="G52" i="17"/>
  <c r="G60" i="17" s="1"/>
  <c r="H118" i="17"/>
  <c r="H33" i="17" s="1"/>
  <c r="H34" i="17" s="1"/>
  <c r="H36" i="17" s="1"/>
  <c r="G73" i="17"/>
  <c r="G74" i="17" s="1"/>
  <c r="H6" i="34"/>
  <c r="G53" i="21"/>
  <c r="C31" i="37" l="1"/>
  <c r="H87" i="17"/>
  <c r="H94" i="17" s="1"/>
  <c r="H100" i="28" s="1"/>
  <c r="H101" i="28" s="1"/>
  <c r="H108" i="17" s="1"/>
  <c r="H12" i="34" s="1"/>
  <c r="H51" i="21" s="1"/>
  <c r="H8" i="34"/>
  <c r="H47" i="21" s="1"/>
  <c r="H37" i="17"/>
  <c r="H44" i="17"/>
  <c r="H41" i="17"/>
  <c r="H45" i="17" s="1"/>
  <c r="AR6" i="18" a="1"/>
  <c r="AR6" i="18" s="1"/>
  <c r="C10" i="18" a="1"/>
  <c r="C10" i="18" s="1"/>
  <c r="J32" i="28"/>
  <c r="J33" i="28" s="1"/>
  <c r="J66" i="28" s="1"/>
  <c r="J93" i="17" s="1"/>
  <c r="K32" i="28"/>
  <c r="K33" i="28" s="1"/>
  <c r="K66" i="28" s="1"/>
  <c r="K93" i="17" s="1"/>
  <c r="G76" i="17"/>
  <c r="G78" i="17" s="1"/>
  <c r="H46" i="21"/>
  <c r="H109" i="17" l="1"/>
  <c r="H113" i="17" s="1"/>
  <c r="K41" i="37" s="1"/>
  <c r="H15" i="34"/>
  <c r="I6" i="34" s="1"/>
  <c r="K36" i="37"/>
  <c r="H46" i="17"/>
  <c r="K46" i="37" l="1"/>
  <c r="H53" i="21"/>
  <c r="H73" i="17"/>
  <c r="H74" i="17" s="1"/>
  <c r="H76" i="17" s="1"/>
  <c r="H119" i="17"/>
  <c r="H116" i="17"/>
  <c r="I115" i="17" s="1"/>
  <c r="I46" i="21"/>
  <c r="H52" i="17" l="1"/>
  <c r="H60" i="17" s="1"/>
  <c r="H78" i="17" s="1"/>
  <c r="I118" i="17"/>
  <c r="I33" i="17" s="1"/>
  <c r="I34" i="17" s="1"/>
  <c r="I36" i="17" s="1"/>
  <c r="I8" i="34" l="1"/>
  <c r="I87" i="17"/>
  <c r="I94" i="17" s="1"/>
  <c r="I37" i="17"/>
  <c r="I44" i="17"/>
  <c r="I41" i="17"/>
  <c r="I45" i="17" s="1"/>
  <c r="I100" i="28" l="1"/>
  <c r="I101" i="28" s="1"/>
  <c r="I108" i="17" s="1"/>
  <c r="L36" i="37"/>
  <c r="I46" i="17"/>
  <c r="I47" i="21"/>
  <c r="I12" i="34" l="1"/>
  <c r="I109" i="17"/>
  <c r="I113" i="17" s="1"/>
  <c r="I51" i="21" l="1"/>
  <c r="I15" i="34"/>
  <c r="L41" i="37"/>
  <c r="I119" i="17"/>
  <c r="I116" i="17"/>
  <c r="J115" i="17" s="1"/>
  <c r="L46" i="37" l="1"/>
  <c r="J118" i="17"/>
  <c r="J33" i="17" s="1"/>
  <c r="J34" i="17" s="1"/>
  <c r="J36" i="17" s="1"/>
  <c r="I52" i="17"/>
  <c r="I60" i="17" s="1"/>
  <c r="I53" i="21"/>
  <c r="J6" i="34"/>
  <c r="I73" i="17"/>
  <c r="I74" i="17" s="1"/>
  <c r="I76" i="17" s="1"/>
  <c r="J46" i="21" l="1"/>
  <c r="I78" i="17"/>
  <c r="J87" i="17"/>
  <c r="J94" i="17" s="1"/>
  <c r="J37" i="17"/>
  <c r="J41" i="17"/>
  <c r="J45" i="17" s="1"/>
  <c r="J44" i="17"/>
  <c r="J8" i="34"/>
  <c r="J47" i="21" s="1"/>
  <c r="J46" i="17" l="1"/>
  <c r="M36" i="37"/>
  <c r="J100" i="28"/>
  <c r="J101" i="28" s="1"/>
  <c r="J108" i="17" s="1"/>
  <c r="J109" i="17" l="1"/>
  <c r="J113" i="17" s="1"/>
  <c r="J12" i="34"/>
  <c r="J51" i="21" l="1"/>
  <c r="J15" i="34"/>
  <c r="J119" i="17"/>
  <c r="J116" i="17"/>
  <c r="K115" i="17" s="1"/>
  <c r="M41" i="37"/>
  <c r="M46" i="37" l="1"/>
  <c r="K118" i="17"/>
  <c r="K33" i="17" s="1"/>
  <c r="K34" i="17" s="1"/>
  <c r="K36" i="17" s="1"/>
  <c r="J52" i="17"/>
  <c r="J60" i="17" s="1"/>
  <c r="K6" i="34"/>
  <c r="J53" i="21"/>
  <c r="J73" i="17"/>
  <c r="J74" i="17" s="1"/>
  <c r="J76" i="17" s="1"/>
  <c r="K46" i="21" l="1"/>
  <c r="J78" i="17"/>
  <c r="K41" i="17"/>
  <c r="K45" i="17" s="1"/>
  <c r="K44" i="17"/>
  <c r="K37" i="17"/>
  <c r="K8" i="34"/>
  <c r="K47" i="21" s="1"/>
  <c r="K87" i="17"/>
  <c r="K94" i="17" s="1"/>
  <c r="K100" i="28" l="1"/>
  <c r="K101" i="28" s="1"/>
  <c r="K108" i="17" s="1"/>
  <c r="N36" i="37"/>
  <c r="K46" i="17"/>
  <c r="C36" i="37" l="1"/>
  <c r="C11" i="18" s="1" a="1"/>
  <c r="C11" i="18" s="1"/>
  <c r="AM31" i="18" a="1"/>
  <c r="K12" i="34"/>
  <c r="K109" i="17"/>
  <c r="K113" i="17" s="1"/>
  <c r="AN37" i="18" l="1"/>
  <c r="AM31" i="18"/>
  <c r="AN34" i="18"/>
  <c r="AO32" i="18"/>
  <c r="AN36" i="18"/>
  <c r="AN38" i="18"/>
  <c r="AN39" i="18"/>
  <c r="AN32" i="18"/>
  <c r="AO39" i="18"/>
  <c r="AO36" i="18"/>
  <c r="AO33" i="18"/>
  <c r="AO35" i="18"/>
  <c r="AN35" i="18"/>
  <c r="AN33" i="18"/>
  <c r="AO38" i="18"/>
  <c r="AO37" i="18"/>
  <c r="AO34" i="18"/>
  <c r="N41" i="37"/>
  <c r="K116" i="17"/>
  <c r="K119" i="17"/>
  <c r="K52" i="17" s="1"/>
  <c r="K60" i="17" s="1"/>
  <c r="K51" i="21"/>
  <c r="K15" i="34"/>
  <c r="K53" i="21" l="1"/>
  <c r="K73" i="17"/>
  <c r="K74" i="17" s="1"/>
  <c r="K76" i="17" s="1"/>
  <c r="K78" i="17" s="1"/>
  <c r="AM18" i="18" a="1"/>
  <c r="AM18" i="18" s="1"/>
  <c r="N46" i="37"/>
  <c r="AO31" i="18"/>
  <c r="AN31" i="18"/>
  <c r="AN18" i="18" l="1" a="1"/>
  <c r="AN18" i="18" s="1"/>
  <c r="C46" i="37"/>
  <c r="C12" i="18" s="1" a="1"/>
  <c r="C12" i="1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tc={3F840ECA-0531-4DE4-9D82-7AE6C3D8BA56}</author>
  </authors>
  <commentList>
    <comment ref="E31" authorId="0" shapeId="0" xr:uid="{3F840ECA-0531-4DE4-9D82-7AE6C3D8BA56}">
      <text>
        <t>[Threaded comment]
Your version of Excel allows you to read this threaded comment; however, any edits to it will get removed if the file is opened in a newer version of Excel. Learn more: https://go.microsoft.com/fwlink/?linkid=870924
Comment:
    Yahoo Finance Analyst 1Y price targets.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tc={F2893250-90AF-4865-B2CD-7569F919F10B}</author>
  </authors>
  <commentList>
    <comment ref="G92" authorId="0" shapeId="0" xr:uid="{F2893250-90AF-4865-B2CD-7569F919F1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 more lease impairment charges or early debt extinguishment—only other which is stable now.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tc={121DAB2B-FBE4-4751-B20E-182516966C80}</author>
    <author>tc={9E8CE35A-E17F-487A-BA6B-BF9D76DBEC4C}</author>
    <author>tc={925A8B83-AFBF-4515-8BDC-C85B6CEBCB96}</author>
    <author>tc={258DC081-D752-4BFD-B616-A33BE55B6643}</author>
  </authors>
  <commentList>
    <comment ref="C9" authorId="0" shapeId="0" xr:uid="{121DAB2B-FBE4-4751-B20E-182516966C8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Kroll: https://www.kroll.com/en/reports/cost-of-capital/recommended-us-equity-risk-premium-and-corresponding-risk-free-rates</t>
      </text>
    </comment>
    <comment ref="C10" authorId="1" shapeId="0" xr:uid="{9E8CE35A-E17F-487A-BA6B-BF9D76DBEC4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https://pages.stern.nyu.edu/~adamodar/New_Home_Page/datafile/totalbeta.html</t>
      </text>
    </comment>
    <comment ref="C12" authorId="2" shapeId="0" xr:uid="{925A8B83-AFBF-4515-8BDC-C85B6CEBCB96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GDPC1CTMLR</t>
      </text>
    </comment>
    <comment ref="C13" authorId="3" shapeId="0" xr:uid="{258DC081-D752-4BFD-B616-A33BE55B6643}">
      <text>
        <t>[Threaded comment]
Your version of Excel allows you to read this threaded comment; however, any edits to it will get removed if the file is opened in a newer version of Excel. Learn more: https://go.microsoft.com/fwlink/?linkid=870924
Comment:
    FRED: T10YIE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tc={EF2EF2FF-396B-4825-8575-6646CAFFCE10}</author>
    <author>tc={0CC5E832-87D0-4B07-A229-8AD8474C5E4B}</author>
    <author>tc={7AC62D2A-4DAE-4B08-A8F3-62EC1A6F6E90}</author>
  </authors>
  <commentList>
    <comment ref="G7" authorId="0" shapeId="0" xr:uid="{EF2EF2FF-396B-4825-8575-6646CAFFCE10}">
      <text>
        <t>[Threaded comment]
Your version of Excel allows you to read this threaded comment; however, any edits to it will get removed if the file is opened in a newer version of Excel. Learn more: https://go.microsoft.com/fwlink/?linkid=870924
Comment:
    FY26 guidance</t>
      </text>
    </comment>
    <comment ref="G26" authorId="1" shapeId="0" xr:uid="{0CC5E832-87D0-4B07-A229-8AD8474C5E4B}">
      <text>
        <t>[Threaded comment]
Your version of Excel allows you to read this threaded comment; however, any edits to it will get removed if the file is opened in a newer version of Excel. Learn more: https://go.microsoft.com/fwlink/?linkid=870924
Comment:
    Guidance of 3,170-3,190</t>
      </text>
    </comment>
    <comment ref="B69" authorId="2" shapeId="0" xr:uid="{7AC62D2A-4DAE-4B08-A8F3-62EC1A6F6E90}">
      <text>
        <t>[Threaded comment]
Your version of Excel allows you to read this threaded comment; however, any edits to it will get removed if the file is opened in a newer version of Excel. Learn more: https://go.microsoft.com/fwlink/?linkid=870924
Comment:
    Extremely low for the model’s future because of net operating loss tax sheltering.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tc={6FB8289E-B973-4DC0-86A7-9753F34A36AB}</author>
    <author>tc={3CA2EDA8-EB0E-484A-A55A-87E249CA6B24}</author>
    <author>tc={34D8538F-6FC9-4912-AC97-1E654B486816}</author>
    <author>tc={0C781CBB-9195-4CA5-8352-A4EEF0B0417B}</author>
  </authors>
  <commentList>
    <comment ref="D7" authorId="0" shapeId="0" xr:uid="{6FB8289E-B973-4DC0-86A7-9753F34A36AB}">
      <text>
        <t>[Threaded comment]
Your version of Excel allows you to read this threaded comment; however, any edits to it will get removed if the file is opened in a newer version of Excel. Learn more: https://go.microsoft.com/fwlink/?linkid=870924
Comment:
    $24M lease impairment</t>
      </text>
    </comment>
    <comment ref="G53" authorId="1" shapeId="0" xr:uid="{3CA2EDA8-EB0E-484A-A55A-87E249CA6B24}">
      <text>
        <t>[Threaded comment]
Your version of Excel allows you to read this threaded comment; however, any edits to it will get removed if the file is opened in a newer version of Excel. Learn more: https://go.microsoft.com/fwlink/?linkid=870924
Comment:
    Mature business at this point—paying out as much as accrued each year.</t>
      </text>
    </comment>
    <comment ref="B96" authorId="2" shapeId="0" xr:uid="{34D8538F-6FC9-4912-AC97-1E654B486816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  <comment ref="B101" authorId="3" shapeId="0" xr:uid="{0C781CBB-9195-4CA5-8352-A4EEF0B0417B}">
      <text>
        <t>[Threaded comment]
Your version of Excel allows you to read this threaded comment; however, any edits to it will get removed if the file is opened in a newer version of Excel. Learn more: https://go.microsoft.com/fwlink/?linkid=870924
Comment:
    Built on TABLE3 in the 10k.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tc={33A7FF9F-7B5A-4A19-A856-4B34B24E1BDC}</author>
  </authors>
  <commentList>
    <comment ref="B15" authorId="0" shapeId="0" xr:uid="{33A7FF9F-7B5A-4A19-A856-4B34B24E1BDC}">
      <text>
        <t>[Threaded comment]
Your version of Excel allows you to read this threaded comment; however, any edits to it will get removed if the file is opened in a newer version of Excel. Learn more: https://go.microsoft.com/fwlink/?linkid=870924
Comment:
    Found in TABLE31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</futureMetadata>
  <cellMetadata count="1">
    <bk>
      <rc t="1" v="0"/>
    </bk>
  </cellMetadata>
  <valueMetadata count="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</valueMetadata>
</metadata>
</file>

<file path=xl/sharedStrings.xml><?xml version="1.0" encoding="utf-8"?>
<sst xmlns="http://schemas.openxmlformats.org/spreadsheetml/2006/main" count="1135" uniqueCount="531">
  <si>
    <t>Revenue:</t>
  </si>
  <si>
    <t>Balance Sheet</t>
  </si>
  <si>
    <t>Accounts Receivable:</t>
  </si>
  <si>
    <t>Total Assets:</t>
  </si>
  <si>
    <t>Liabilities &amp; Equity:</t>
  </si>
  <si>
    <t>Accrued Liabilities:</t>
  </si>
  <si>
    <t>Accounts Payable:</t>
  </si>
  <si>
    <t>Other Liabilities:</t>
  </si>
  <si>
    <t>Total Debt:</t>
  </si>
  <si>
    <t>Operating Lease Liabilities:</t>
  </si>
  <si>
    <t>Total Liabilities:</t>
  </si>
  <si>
    <t>Common Shareholder's Equity:</t>
  </si>
  <si>
    <t>Total Equity:</t>
  </si>
  <si>
    <t>Total Liabilities + Equity:</t>
  </si>
  <si>
    <t>Operating Lease ROU:</t>
  </si>
  <si>
    <t>Goodwill:</t>
  </si>
  <si>
    <t>Balance Check:</t>
  </si>
  <si>
    <t>Income Statement</t>
  </si>
  <si>
    <t>Assets:</t>
  </si>
  <si>
    <t>Revenue Segments:</t>
  </si>
  <si>
    <t>Total Revenues:</t>
  </si>
  <si>
    <t>Total Costs and Expenses:</t>
  </si>
  <si>
    <t>Interest and Other Income:</t>
  </si>
  <si>
    <t>Provisions for Income Taxes</t>
  </si>
  <si>
    <t>Pre-Tax Income</t>
  </si>
  <si>
    <t>Net Income:</t>
  </si>
  <si>
    <t>Cash Flow Statement</t>
  </si>
  <si>
    <t>Cash Flow from Operations:</t>
  </si>
  <si>
    <t>Net Income to Parent:</t>
  </si>
  <si>
    <t>Cash Flow from Investing:</t>
  </si>
  <si>
    <t>Cash Flow from Financing:</t>
  </si>
  <si>
    <t>FX Rate Effects:</t>
  </si>
  <si>
    <t>Net Change in Cash:</t>
  </si>
  <si>
    <t>(+/-) Share Based Compensation:</t>
  </si>
  <si>
    <t>(+/-) Deferred Income Taxes:</t>
  </si>
  <si>
    <t>(+/-) Other Non-Cash Items:</t>
  </si>
  <si>
    <t>(+/-) Changes in Working Capital:</t>
  </si>
  <si>
    <t>End of Period Cash:</t>
  </si>
  <si>
    <t>Beginning of Period Cash:</t>
  </si>
  <si>
    <t>Sales &amp; Marketing:</t>
  </si>
  <si>
    <t>R&amp;D:</t>
  </si>
  <si>
    <t>Subscription:</t>
  </si>
  <si>
    <t>Professional Service &amp; Other:</t>
  </si>
  <si>
    <t>Cost of Revenue:</t>
  </si>
  <si>
    <t>Gross Profit</t>
  </si>
  <si>
    <t>Operating Expenses:</t>
  </si>
  <si>
    <t>General &amp; Admin:</t>
  </si>
  <si>
    <t>Restructuring &amp; Other:</t>
  </si>
  <si>
    <t>Total Operating Expenses:</t>
  </si>
  <si>
    <t>Deferred Commission:</t>
  </si>
  <si>
    <t>Deferred Revenue:</t>
  </si>
  <si>
    <t>(+/-) Amortization of Deferred Commissions:</t>
  </si>
  <si>
    <t>CapEx:</t>
  </si>
  <si>
    <t>(-) Capitalized Software:</t>
  </si>
  <si>
    <t>(-) Property and Equipment:</t>
  </si>
  <si>
    <t>(+/-) Proceeds from Stock and Options:</t>
  </si>
  <si>
    <t>Q3FY26 investor presentation--slide 6</t>
  </si>
  <si>
    <t>Operating Margin:</t>
  </si>
  <si>
    <t>Net Margin:</t>
  </si>
  <si>
    <t>Q3 FY26 Posted Commentary page 5</t>
  </si>
  <si>
    <t>cRPO as % of Total RPO:</t>
  </si>
  <si>
    <t>RPO Growth Rate:</t>
  </si>
  <si>
    <t>Total RPO:</t>
  </si>
  <si>
    <t>Professional Service (% Subscription):</t>
  </si>
  <si>
    <t>cRPO:</t>
  </si>
  <si>
    <t>Costs:</t>
  </si>
  <si>
    <t>Professional Service Cost as</t>
  </si>
  <si>
    <t>% Own Revenue:</t>
  </si>
  <si>
    <t>Subcription Cost as % Own Revenue:</t>
  </si>
  <si>
    <t>Revenue</t>
  </si>
  <si>
    <t>Expenses</t>
  </si>
  <si>
    <t>EBITDA:</t>
  </si>
  <si>
    <t>Operating Gain/Loss:</t>
  </si>
  <si>
    <t>EBITDA Margin:</t>
  </si>
  <si>
    <t>cRPO (Offset):</t>
  </si>
  <si>
    <t>Revenue as % offset cRPO:</t>
  </si>
  <si>
    <t>Winding down professional services segment.</t>
  </si>
  <si>
    <t>cRPO % Total Growth Rate:</t>
  </si>
  <si>
    <t>Professional Service Revenue:</t>
  </si>
  <si>
    <t>Total Revenue:</t>
  </si>
  <si>
    <t>Total Revenue (Guidance):</t>
  </si>
  <si>
    <t>Total Revenue (Act/Proj):</t>
  </si>
  <si>
    <t>* FY begins on 1/31</t>
  </si>
  <si>
    <t>Revenue CAGR:</t>
  </si>
  <si>
    <t>R&amp;D CAGR:</t>
  </si>
  <si>
    <t>S&amp;M CAGR:</t>
  </si>
  <si>
    <t>G&amp;A CAGR:</t>
  </si>
  <si>
    <t>R&amp;D as % Revenue:</t>
  </si>
  <si>
    <t>Total R&amp;D:</t>
  </si>
  <si>
    <t>S&amp;M as % Revenue:</t>
  </si>
  <si>
    <t>Total Sales &amp; Marketing:</t>
  </si>
  <si>
    <t>G&amp;A as % Revenue:</t>
  </si>
  <si>
    <t>Total General &amp; Admin:</t>
  </si>
  <si>
    <t>R&amp;O as % Revenue:</t>
  </si>
  <si>
    <t>Total Restructuring &amp; Other:</t>
  </si>
  <si>
    <t>Revenue Scaling Factor:</t>
  </si>
  <si>
    <t>(-)       Stock Buybacks:</t>
  </si>
  <si>
    <t>Yield Cash and Investments:</t>
  </si>
  <si>
    <t>Net Cash Metrics &amp; EPS</t>
  </si>
  <si>
    <t>WA Shares for EPS:</t>
  </si>
  <si>
    <t>FY Total Buyback Amount:</t>
  </si>
  <si>
    <t>Average Buyback Price:</t>
  </si>
  <si>
    <t>Net Basic Share Additions:</t>
  </si>
  <si>
    <t>Basic Share Buybacks:</t>
  </si>
  <si>
    <t>Basic Share Net CAGR:</t>
  </si>
  <si>
    <t>Diluted Share % Basic:</t>
  </si>
  <si>
    <t>Assets</t>
  </si>
  <si>
    <t>Accounts Receivable % Revenue:</t>
  </si>
  <si>
    <t>AR % Rev. CAGR:</t>
  </si>
  <si>
    <t>Deferred Commission % RPO:</t>
  </si>
  <si>
    <t>Accrued Compensation:</t>
  </si>
  <si>
    <t>Short-term</t>
  </si>
  <si>
    <t>Long-term</t>
  </si>
  <si>
    <t>Total</t>
  </si>
  <si>
    <t>Convertible Senior Notes:</t>
  </si>
  <si>
    <t>Principal payments:</t>
  </si>
  <si>
    <t>Interest payments:</t>
  </si>
  <si>
    <t>Operating leases:</t>
  </si>
  <si>
    <t>Purchase obligations:</t>
  </si>
  <si>
    <t>Total contractual obligations:</t>
  </si>
  <si>
    <t>Cash Requirements</t>
  </si>
  <si>
    <t>Remaining</t>
  </si>
  <si>
    <t>Operating leases cash requirement):</t>
  </si>
  <si>
    <t>Operating Lease ROU Decrease:</t>
  </si>
  <si>
    <t>Intangibles:</t>
  </si>
  <si>
    <t>Schedules</t>
  </si>
  <si>
    <t>Amortization of Intangibles:</t>
  </si>
  <si>
    <t>Other Liabilities as % of non-current RPO:</t>
  </si>
  <si>
    <t>Subscription</t>
  </si>
  <si>
    <t>Professional services and other</t>
  </si>
  <si>
    <t>Total revenue</t>
  </si>
  <si>
    <t>Cost of revenue</t>
  </si>
  <si>
    <t>Total cost of revenue</t>
  </si>
  <si>
    <t>Gross profit</t>
  </si>
  <si>
    <t>Operating expenses</t>
  </si>
  <si>
    <t>Research and development</t>
  </si>
  <si>
    <t>Sales and marketing</t>
  </si>
  <si>
    <t>General and administrative</t>
  </si>
  <si>
    <t>Restructuring and other charges</t>
  </si>
  <si>
    <t>Total operating expenses</t>
  </si>
  <si>
    <t>Operating loss</t>
  </si>
  <si>
    <t>Interest expense</t>
  </si>
  <si>
    <t>Interest income and other, net</t>
  </si>
  <si>
    <t>Gain on early extinguishment of debt</t>
  </si>
  <si>
    <t>Interest and other, net</t>
  </si>
  <si>
    <t>Income (loss) before provision for income taxes</t>
  </si>
  <si>
    <t>Provision for income taxes</t>
  </si>
  <si>
    <t>Net income (loss)</t>
  </si>
  <si>
    <t>Net income (loss) per share, basic</t>
  </si>
  <si>
    <t>Net income (loss) per share, diluted</t>
  </si>
  <si>
    <t>Weighted-average shares used to compute net income (loss) per</t>
  </si>
  <si>
    <t>share, basic</t>
  </si>
  <si>
    <t>share, diluted</t>
  </si>
  <si>
    <t>Year Ended January 31,</t>
  </si>
  <si>
    <t/>
  </si>
  <si>
    <t>As of January 31,</t>
  </si>
  <si>
    <t>Current assets:</t>
  </si>
  <si>
    <t>Cash and cash equivalents</t>
  </si>
  <si>
    <t>Short-term investments</t>
  </si>
  <si>
    <t>Accounts receivable, net of allowances of $4 and $6, respectively</t>
  </si>
  <si>
    <t>Deferred commissions</t>
  </si>
  <si>
    <t>Prepaid expenses and other current assets</t>
  </si>
  <si>
    <t>Total current assets</t>
  </si>
  <si>
    <t>Property and equipment, net</t>
  </si>
  <si>
    <t>Operating lease right-of-use assets</t>
  </si>
  <si>
    <t>Deferred commissions, noncurrent</t>
  </si>
  <si>
    <t>Intangible assets, net</t>
  </si>
  <si>
    <t>Goodwill</t>
  </si>
  <si>
    <t>Other assets</t>
  </si>
  <si>
    <t>Total assets</t>
  </si>
  <si>
    <t>Liabilities and stockholders' equity</t>
  </si>
  <si>
    <t>Current liabilities:</t>
  </si>
  <si>
    <t>Accounts payable</t>
  </si>
  <si>
    <t>Accrued expenses and other current liabilities</t>
  </si>
  <si>
    <t>Accrued compensation</t>
  </si>
  <si>
    <t>Convertible senior notes, net</t>
  </si>
  <si>
    <t>Deferred revenue</t>
  </si>
  <si>
    <t>Total current liabilities</t>
  </si>
  <si>
    <t>Convertible senior notes, net, noncurrent</t>
  </si>
  <si>
    <t>Operating lease liabilities, noncurrent</t>
  </si>
  <si>
    <t>Deferred revenue, noncurrent</t>
  </si>
  <si>
    <t>Other liabilities, noncurrent</t>
  </si>
  <si>
    <t>Total liabilities</t>
  </si>
  <si>
    <t>Commitments and contingencies (Note 10)</t>
  </si>
  <si>
    <t>Stockholders' equity:</t>
  </si>
  <si>
    <t>Preferred stock, par value $0.0001 per share; 100,000 shares</t>
  </si>
  <si>
    <t>authorized, no shares issued and outstanding as of January 31, 2025 and</t>
  </si>
  <si>
    <t>2024.</t>
  </si>
  <si>
    <t>Class A common stock, par value $0.0001 per share; 1,000,000 shares</t>
  </si>
  <si>
    <t>authorized; 165,650 and 159,835 shares issued and outstanding as of</t>
  </si>
  <si>
    <t>January 31, 2025 and 2024, respectively.</t>
  </si>
  <si>
    <t>Class B common stock, par value $0.0001 per share; 120,000 shares</t>
  </si>
  <si>
    <t>authorized; 7,809 and 7,291 shares issued and outstanding as of January</t>
  </si>
  <si>
    <t>31, 2025 and 2024, respectively.</t>
  </si>
  <si>
    <t>Additional paid-in capital</t>
  </si>
  <si>
    <t>Accumulated other comprehensive loss</t>
  </si>
  <si>
    <t>Accumulated deficit</t>
  </si>
  <si>
    <t>Total stockholders' equity</t>
  </si>
  <si>
    <t>Total liabilities and stockholders' equity</t>
  </si>
  <si>
    <t>Cash flows from operating activities:</t>
  </si>
  <si>
    <t>Adjustments to reconcile net income (loss) to net cash provided by</t>
  </si>
  <si>
    <t>operating activities:</t>
  </si>
  <si>
    <t>Stock-based compensation</t>
  </si>
  <si>
    <t>Depreciation, amortization and accretion</t>
  </si>
  <si>
    <t>Amortization of deferred commissions</t>
  </si>
  <si>
    <t>Deferred income taxes</t>
  </si>
  <si>
    <t>Lease impairment charges</t>
  </si>
  <si>
    <t>Other, net</t>
  </si>
  <si>
    <t>Changes in operating assets and liabilities:</t>
  </si>
  <si>
    <t>Accounts receivable</t>
  </si>
  <si>
    <t>Prepaid expenses and other assets</t>
  </si>
  <si>
    <t>Accrued expenses and other liabilities</t>
  </si>
  <si>
    <t>Operating lease liabilities</t>
  </si>
  <si>
    <t>Net cash provided by operating activities</t>
  </si>
  <si>
    <t>Cash flows from investing activities:</t>
  </si>
  <si>
    <t>Capitalized software</t>
  </si>
  <si>
    <t>Purchases of property and equipment</t>
  </si>
  <si>
    <t>Purchases of securities available-for-sale and other</t>
  </si>
  <si>
    <t>Proceeds from maturities and redemption of securities</t>
  </si>
  <si>
    <t>available-for-sale</t>
  </si>
  <si>
    <t>Proceeds from sales of securities available-for-sale and other</t>
  </si>
  <si>
    <t>Payments for business acquisitions, net of cash acquired</t>
  </si>
  <si>
    <t>Purchases of intangible assets</t>
  </si>
  <si>
    <t>Net cash provided by (used in) investing activities</t>
  </si>
  <si>
    <t>Cash flows from financing activities:</t>
  </si>
  <si>
    <t>Payments for repurchases of convertible senior notes</t>
  </si>
  <si>
    <t>Taxes paid related to net share settlement of equity awards</t>
  </si>
  <si>
    <t>Payments for warrants related to convertible senior notes</t>
  </si>
  <si>
    <t>Proceeds from stock option exercises</t>
  </si>
  <si>
    <t>Proceeds from shares issued in connection with employee stock</t>
  </si>
  <si>
    <t>purchase plan</t>
  </si>
  <si>
    <t>Net cash provided by (used in) financing activities</t>
  </si>
  <si>
    <t>Effects of changes in foreign currency exchange rates on cash,</t>
  </si>
  <si>
    <t>cash equivalents and restricted cash</t>
  </si>
  <si>
    <t>Net increase (decrease) in cash, cash equivalents and restricted</t>
  </si>
  <si>
    <t>cash</t>
  </si>
  <si>
    <t>Cash, cash equivalents and restricted cash at beginning of year</t>
  </si>
  <si>
    <t>Cash, cash equivalents and restricted cash at end of year</t>
  </si>
  <si>
    <t>Class A Common Stock</t>
  </si>
  <si>
    <t>Class B Common Stock</t>
  </si>
  <si>
    <t>Accumulated Other</t>
  </si>
  <si>
    <t>Additional Paid-in</t>
  </si>
  <si>
    <t>Comprehensive Income</t>
  </si>
  <si>
    <t>Accumulated</t>
  </si>
  <si>
    <t>Total Stockholders'</t>
  </si>
  <si>
    <t>Shares</t>
  </si>
  <si>
    <t>Amount</t>
  </si>
  <si>
    <t>Capital</t>
  </si>
  <si>
    <t>(Loss)</t>
  </si>
  <si>
    <t>Deficit</t>
  </si>
  <si>
    <t>Equity</t>
  </si>
  <si>
    <t>Balances as of January 31, 2023</t>
  </si>
  <si>
    <t>Issuance of common stock, net</t>
  </si>
  <si>
    <t>Conversion of Class B common stock to Class A</t>
  </si>
  <si>
    <t>common stock</t>
  </si>
  <si>
    <t>Proceeds from hedges related to convertible</t>
  </si>
  <si>
    <t>senior notes</t>
  </si>
  <si>
    <t>Settlement of warrants</t>
  </si>
  <si>
    <t>Other comprehensive income</t>
  </si>
  <si>
    <t>Net loss</t>
  </si>
  <si>
    <t>Balances as of January 31, 2024</t>
  </si>
  <si>
    <t>Taxes withheld related to net share settlement</t>
  </si>
  <si>
    <t>of equity awards</t>
  </si>
  <si>
    <t>Other comprehensive loss</t>
  </si>
  <si>
    <t>Net income</t>
  </si>
  <si>
    <t>Balances as of January 31, 2025</t>
  </si>
  <si>
    <t>Common stock repurchased</t>
  </si>
  <si>
    <t>Settlement of capped calls related to</t>
  </si>
  <si>
    <t>convertible senior notes</t>
  </si>
  <si>
    <t>Balances as of January 31, 2026</t>
  </si>
  <si>
    <t>Remaining Amortization Proj.</t>
  </si>
  <si>
    <t>Current Projections:</t>
  </si>
  <si>
    <t>Prepaid Expenses &amp; Other Current Assets:</t>
  </si>
  <si>
    <t>YoY Amortization Projections:</t>
  </si>
  <si>
    <t>FY-22</t>
  </si>
  <si>
    <t>Share Based Compensation CAGR:</t>
  </si>
  <si>
    <t>Share Based Compensation % OpEx:</t>
  </si>
  <si>
    <t>Amortization of Deferred Comissions</t>
  </si>
  <si>
    <t>as % Deferred Commission:</t>
  </si>
  <si>
    <t>Deferred Commissions:</t>
  </si>
  <si>
    <t>Prepaid Expenses and Other Assets:</t>
  </si>
  <si>
    <t>Operating Lease Right-of-use Assets:</t>
  </si>
  <si>
    <t>Changes in Operating Assets and Liabilities:</t>
  </si>
  <si>
    <t>Balance Sheet:</t>
  </si>
  <si>
    <t>Cash Flow:</t>
  </si>
  <si>
    <t>Changes in Working Capital</t>
  </si>
  <si>
    <t>10k Table Reference: TABLE18</t>
  </si>
  <si>
    <t>10k Table Reference: TABLE31</t>
  </si>
  <si>
    <t>Accrued Compensation as % OpEx:</t>
  </si>
  <si>
    <t>Deferred Revenue as % cRPO:</t>
  </si>
  <si>
    <t>Projection:</t>
  </si>
  <si>
    <t>Changes in Working Capital (CFS):</t>
  </si>
  <si>
    <t>Changes in Working Capital (Proj.):</t>
  </si>
  <si>
    <t>D&amp;A:</t>
  </si>
  <si>
    <t>Depreciation:</t>
  </si>
  <si>
    <t>Amortization:</t>
  </si>
  <si>
    <t>Cash Flow from Investing</t>
  </si>
  <si>
    <t>M&amp;A:</t>
  </si>
  <si>
    <t>(-)      M&amp;A:</t>
  </si>
  <si>
    <t>(+/-) Net Securities Activity:</t>
  </si>
  <si>
    <t>Stock Repurchase Schedule:</t>
  </si>
  <si>
    <t>Net Securities Activity:</t>
  </si>
  <si>
    <t>Cash &amp; Cash Equivalents:</t>
  </si>
  <si>
    <t>Long-term Debt Buybacks:</t>
  </si>
  <si>
    <t>(+/-) Long-term Debt Buybacks:</t>
  </si>
  <si>
    <t>Payments for Warrants Related to Sr. Notes:</t>
  </si>
  <si>
    <t>Payments for Repurchase of Sr Notes:</t>
  </si>
  <si>
    <t>Net Long-term Debt Buyback Activity:</t>
  </si>
  <si>
    <t>(-)       Taxes on Net Settlement of Equity Awards:</t>
  </si>
  <si>
    <t>Taxes Related to Settlement of Equity Awards</t>
  </si>
  <si>
    <t>as % of SBC:</t>
  </si>
  <si>
    <t>Proceeds from Option Exercises:</t>
  </si>
  <si>
    <t>10k Table Reference: TABLE35</t>
  </si>
  <si>
    <t>Remaining Options (in thousands):</t>
  </si>
  <si>
    <t>WA Exercise Price:</t>
  </si>
  <si>
    <t>Term until Expiration:</t>
  </si>
  <si>
    <t>Exercised:</t>
  </si>
  <si>
    <t>Beginning of Period</t>
  </si>
  <si>
    <t>End of Period</t>
  </si>
  <si>
    <t>Remaining Options Exercise Price:</t>
  </si>
  <si>
    <t>OKTA Stock History</t>
  </si>
  <si>
    <t>FY Average</t>
  </si>
  <si>
    <t>Break Even</t>
  </si>
  <si>
    <t>Break-even Gain:</t>
  </si>
  <si>
    <t>Projections</t>
  </si>
  <si>
    <t>Historicals</t>
  </si>
  <si>
    <t>^^^Pools above and to the right of current column are only ones not expired.</t>
  </si>
  <si>
    <t>WA Strike at Execution:</t>
  </si>
  <si>
    <t>Estimated WA Strike Price:</t>
  </si>
  <si>
    <t>Exercised of % Original Pool:</t>
  </si>
  <si>
    <t>Expired Options:</t>
  </si>
  <si>
    <t>% of Total Pool</t>
  </si>
  <si>
    <t>Options Exercises:</t>
  </si>
  <si>
    <t>Employee Stock Purchase Plan:</t>
  </si>
  <si>
    <t>Beginning of Period Cash and Cash Equivalents:</t>
  </si>
  <si>
    <t>End of Period Cash and Cash Equivalents:</t>
  </si>
  <si>
    <t>Projected Repurchase from Excess Cash:</t>
  </si>
  <si>
    <t>Repurchases of Common Stock</t>
  </si>
  <si>
    <t>Min Operating Lease Liability:</t>
  </si>
  <si>
    <t>Effective Taxation:</t>
  </si>
  <si>
    <t>Beginning of Period:</t>
  </si>
  <si>
    <t>Liabilities</t>
  </si>
  <si>
    <t>Shareholder Equity</t>
  </si>
  <si>
    <t>Beginning Equity:</t>
  </si>
  <si>
    <t>Issuances:</t>
  </si>
  <si>
    <t>Net Share Settlement:</t>
  </si>
  <si>
    <t>Stock Buybacks:</t>
  </si>
  <si>
    <t>Ending Equity:</t>
  </si>
  <si>
    <t>Share Based Compensation:</t>
  </si>
  <si>
    <t>Ending Equity (Calc):</t>
  </si>
  <si>
    <t>Condensed Stockholder Equity</t>
  </si>
  <si>
    <t>Other:</t>
  </si>
  <si>
    <t>Stock Repurchases:</t>
  </si>
  <si>
    <t>Property, Equipment, and Other Assets:</t>
  </si>
  <si>
    <t>Accrued and Other Liabilities:</t>
  </si>
  <si>
    <t>Addition of Intangibles:</t>
  </si>
  <si>
    <t>Net Increase of Intagibles:</t>
  </si>
  <si>
    <t>Target Cash Balance:</t>
  </si>
  <si>
    <t>(+)     Amortization:</t>
  </si>
  <si>
    <t>Max Operating Lease ROU:</t>
  </si>
  <si>
    <t>Capitalized Software:</t>
  </si>
  <si>
    <t>Property &amp; Equipment:</t>
  </si>
  <si>
    <t>as % Total:</t>
  </si>
  <si>
    <t>Total CapEx:</t>
  </si>
  <si>
    <t>CapEx as % of OpEx:</t>
  </si>
  <si>
    <t>Base:</t>
  </si>
  <si>
    <t>Growth of cRPO within guidance of 2027 forward outlook and historical trends.</t>
  </si>
  <si>
    <t>Aligned with guidance, decreasing to 1% of total revenue.</t>
  </si>
  <si>
    <t>Pessimistic</t>
  </si>
  <si>
    <t>Pessimistic:</t>
  </si>
  <si>
    <t>Optimistic:</t>
  </si>
  <si>
    <t>Base</t>
  </si>
  <si>
    <t>Scenarios</t>
  </si>
  <si>
    <t>Optimistic</t>
  </si>
  <si>
    <t>Scenario selection:</t>
  </si>
  <si>
    <t>Projection Start Date:</t>
  </si>
  <si>
    <t>Scenario Stress:</t>
  </si>
  <si>
    <t>Scenario Stress (Multiple):</t>
  </si>
  <si>
    <t>Effective RPO Growth Rate:</t>
  </si>
  <si>
    <t>RPO Growth Rate (Multiplier):</t>
  </si>
  <si>
    <t>Revenue as % cRPO (Multiplier):</t>
  </si>
  <si>
    <t>Professional Services Revenue (Constant) :</t>
  </si>
  <si>
    <t>% Own Revenue (Stress):</t>
  </si>
  <si>
    <t>Subcription Cost as %</t>
  </si>
  <si>
    <t>Own Revenue (Multiplier):</t>
  </si>
  <si>
    <t>R&amp;D CAGR (Multiplier):</t>
  </si>
  <si>
    <t>S&amp;M CAGR (Multiplier):</t>
  </si>
  <si>
    <t>G&amp;A CAGR (Multiplier):</t>
  </si>
  <si>
    <t>Yield Cash and Investments (Constant):</t>
  </si>
  <si>
    <t>Scenario Multiplier:</t>
  </si>
  <si>
    <t>Share Based Compensation CAGR (Multiplier):</t>
  </si>
  <si>
    <t>Scenario Metrics</t>
  </si>
  <si>
    <t>Subscription Revenue:</t>
  </si>
  <si>
    <t>Pessemistic</t>
  </si>
  <si>
    <t>Current</t>
  </si>
  <si>
    <t>EPS CAGR:</t>
  </si>
  <si>
    <t>Weighted-Average Shares for EPS (MM):</t>
  </si>
  <si>
    <t>Basic:</t>
  </si>
  <si>
    <t>Diluted:</t>
  </si>
  <si>
    <t>EPS:</t>
  </si>
  <si>
    <t>Sensitivity Switch:</t>
  </si>
  <si>
    <t>RPO Growth Rate</t>
  </si>
  <si>
    <t>OpEx as % of Revenue:</t>
  </si>
  <si>
    <t>OpEx as % Revenue</t>
  </si>
  <si>
    <t>Predefined Allocations from</t>
  </si>
  <si>
    <t>from Base Case % Total Opex:</t>
  </si>
  <si>
    <t>S&amp;M:</t>
  </si>
  <si>
    <t>G&amp;A:</t>
  </si>
  <si>
    <t>R&amp;O:</t>
  </si>
  <si>
    <t>EBITDA at FY31:</t>
  </si>
  <si>
    <t>EBITDA at FY2031</t>
  </si>
  <si>
    <t>Projection Year</t>
  </si>
  <si>
    <t>EBITDA</t>
  </si>
  <si>
    <t>Revenue CAGR</t>
  </si>
  <si>
    <t>EBITDA Margin</t>
  </si>
  <si>
    <t>EPS</t>
  </si>
  <si>
    <t>OpEx as % Revenue:</t>
  </si>
  <si>
    <t>Historical</t>
  </si>
  <si>
    <t>Average Revenue CAGR:</t>
  </si>
  <si>
    <t>Average OpEx as % Revenue:</t>
  </si>
  <si>
    <t>EBITDA Margin at FY31:</t>
  </si>
  <si>
    <t xml:space="preserve">FCF Margin after </t>
  </si>
  <si>
    <t>FCF before Buybacks:</t>
  </si>
  <si>
    <t>FCF Margin before Buybacks:</t>
  </si>
  <si>
    <t>FCF before Buybacks</t>
  </si>
  <si>
    <t>Free Cash Flow</t>
  </si>
  <si>
    <t>EBITDA Sensitivity Table</t>
  </si>
  <si>
    <t>EPS Positive</t>
  </si>
  <si>
    <t>EPS Negative</t>
  </si>
  <si>
    <t>Average EPS:</t>
  </si>
  <si>
    <t>Key Inputs &amp; Market Data</t>
  </si>
  <si>
    <t>Diluted Shares Outstanding:</t>
  </si>
  <si>
    <t>Cash &amp; Investments:</t>
  </si>
  <si>
    <t>Net Debt:</t>
  </si>
  <si>
    <t>Market Capitalization:</t>
  </si>
  <si>
    <t>Enterprise Value:</t>
  </si>
  <si>
    <t>Trading Comps</t>
  </si>
  <si>
    <t>TTM Revenue:</t>
  </si>
  <si>
    <t>TTM EBITDA:</t>
  </si>
  <si>
    <t>TTM Diluted EPS:</t>
  </si>
  <si>
    <t>TTM FCF Net Buybacks:</t>
  </si>
  <si>
    <t>CrowdStrike</t>
  </si>
  <si>
    <t>Zscaler</t>
  </si>
  <si>
    <t>Palo Alto</t>
  </si>
  <si>
    <t>Fortinet</t>
  </si>
  <si>
    <t>Qualys</t>
  </si>
  <si>
    <t>*All values in millions unless specified</t>
  </si>
  <si>
    <t>Low</t>
  </si>
  <si>
    <t>High</t>
  </si>
  <si>
    <t>Okta</t>
  </si>
  <si>
    <t>Implied EV:</t>
  </si>
  <si>
    <t>Implied Equity Value:</t>
  </si>
  <si>
    <t>Implied Share Price:</t>
  </si>
  <si>
    <t>EV / TTM Revenue</t>
  </si>
  <si>
    <t>EV / TTM EBITDA</t>
  </si>
  <si>
    <t>Forward P/E (FY2027 &amp; 2028)</t>
  </si>
  <si>
    <t>Diluted Number of Shares:</t>
  </si>
  <si>
    <t>Last Filing Date Price:</t>
  </si>
  <si>
    <t>Last Filing Date:</t>
  </si>
  <si>
    <t>TTM Net Income:</t>
  </si>
  <si>
    <t>EV ($B):</t>
  </si>
  <si>
    <t>Mkt Cap ($B):</t>
  </si>
  <si>
    <t>Ticker:</t>
  </si>
  <si>
    <t>OKTA</t>
  </si>
  <si>
    <t>CRWD</t>
  </si>
  <si>
    <t>FTNT</t>
  </si>
  <si>
    <t>PANW</t>
  </si>
  <si>
    <t>QLYS</t>
  </si>
  <si>
    <t>ZS</t>
  </si>
  <si>
    <t>EV / Revenue:</t>
  </si>
  <si>
    <t>EV / EBITDA:</t>
  </si>
  <si>
    <t>P / E:</t>
  </si>
  <si>
    <t>TTM EPS:</t>
  </si>
  <si>
    <t>TTM P / E:</t>
  </si>
  <si>
    <t>Target (Cash=0 / Stock Repurchase=1):</t>
  </si>
  <si>
    <t>Stock Repurchase Plans:</t>
  </si>
  <si>
    <t>Stock Attributes</t>
  </si>
  <si>
    <t>Enterprise Metrics</t>
  </si>
  <si>
    <t>TTM Metrics</t>
  </si>
  <si>
    <t>DCF Assumptions</t>
  </si>
  <si>
    <t>WACC</t>
  </si>
  <si>
    <t>WACC:</t>
  </si>
  <si>
    <t>Terminal Growth Rate:</t>
  </si>
  <si>
    <t>10-Year Treasury Yield:</t>
  </si>
  <si>
    <t>Equity Risk Premium:</t>
  </si>
  <si>
    <t>Long Run Real GDP Growth:</t>
  </si>
  <si>
    <t>10-Year Breakeven Inflation Rate:</t>
  </si>
  <si>
    <t>Totals</t>
  </si>
  <si>
    <t>Present Value of FCF</t>
  </si>
  <si>
    <t>Average</t>
  </si>
  <si>
    <t>Terminal Value</t>
  </si>
  <si>
    <t>Stock Price at Filing Date:</t>
  </si>
  <si>
    <t>Economics Date:</t>
  </si>
  <si>
    <t>Software Industry Beta:</t>
  </si>
  <si>
    <t>PV of Terminal Value</t>
  </si>
  <si>
    <t>Equity Value from DCF</t>
  </si>
  <si>
    <t>Terminal Growth Rate</t>
  </si>
  <si>
    <t>WACC Calc:</t>
  </si>
  <si>
    <t>Terminal Growth Rate Calc:</t>
  </si>
  <si>
    <t>DCF Implied Share Price</t>
  </si>
  <si>
    <t>Mid</t>
  </si>
  <si>
    <t>Enterprise Value</t>
  </si>
  <si>
    <t>Implied Share Price</t>
  </si>
  <si>
    <t>Enterprise Valuation and Implied Stock Price from DCF Analysis</t>
  </si>
  <si>
    <t>Valuation Method</t>
  </si>
  <si>
    <t>52-Week Trading Range</t>
  </si>
  <si>
    <t>Analyst Forecasts</t>
  </si>
  <si>
    <t>Revenue Comparables</t>
  </si>
  <si>
    <t>EBITDA Comparables</t>
  </si>
  <si>
    <t>Forward PE (2027)</t>
  </si>
  <si>
    <t>FY2027 - Base (EPS = $2.46)</t>
  </si>
  <si>
    <t>FY2028 - Base (EPS = $3.12)</t>
  </si>
  <si>
    <t>Forward PE (2028)</t>
  </si>
  <si>
    <t>Difference</t>
  </si>
  <si>
    <t>Weighting</t>
  </si>
  <si>
    <t>Estimate</t>
  </si>
  <si>
    <t>Current Stock Price:</t>
  </si>
  <si>
    <t>Scenario Weighting:</t>
  </si>
  <si>
    <t>Final:</t>
  </si>
  <si>
    <t>Vert</t>
  </si>
  <si>
    <t>V:</t>
  </si>
  <si>
    <t>Consolidated Outputs</t>
  </si>
  <si>
    <t>Weighted Average</t>
  </si>
  <si>
    <t>Metric</t>
  </si>
  <si>
    <t>Scenario</t>
  </si>
  <si>
    <t>Multiple</t>
  </si>
  <si>
    <t>Methodology</t>
  </si>
  <si>
    <t>Forward P/E</t>
  </si>
  <si>
    <t>Valuation Weight</t>
  </si>
  <si>
    <t>Attribute</t>
  </si>
  <si>
    <t>Data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</si>
</sst>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[$$-409]* #,##0_);_([$$-409]* \(#,##0\);_([$$-409]* &quot;-&quot;??_);_(@_)"/>
    <numFmt numFmtId="165" formatCode="&quot;$&quot;#,##0"/>
    <numFmt numFmtId="166" formatCode="_(&quot;$&quot;* #,##0_);_(&quot;$&quot;* \(#,##0\);_(&quot;$&quot;* &quot;-&quot;??_);_(@_)"/>
    <numFmt numFmtId="167" formatCode="0.0%"/>
    <numFmt numFmtId="168" formatCode="&quot;FY&quot;\-yy"/>
    <numFmt numFmtId="169" formatCode="&quot;$&quot;#,##0.00"/>
    <numFmt numFmtId="170" formatCode="#,##0.0"/>
    <numFmt numFmtId="171" formatCode="_(* #,##0_);_(* \(#,##0\);_(* &quot;-&quot;??_);_(@_)"/>
    <numFmt numFmtId="172" formatCode="&quot;$&quot;#,##0.0_);[Red]\(&quot;$&quot;#,##0.0\)"/>
    <numFmt numFmtId="173" formatCode="0.000%"/>
    <numFmt numFmtId="174" formatCode="_(&quot;$&quot;* #,##0.0_);_(&quot;$&quot;* \(#,##0.0\);_(&quot;$&quot;* &quot;-&quot;_);_(@_)"/>
    <numFmt numFmtId="175" formatCode="_(&quot;$&quot;* #,##0.000_);_(&quot;$&quot;* \(#,##0.000\);_(&quot;$&quot;* &quot;-&quot;_);_(@_)"/>
    <numFmt numFmtId="176" formatCode="0.0&quot;x&quot;"/>
    <numFmt numFmtId="177" formatCode="0.0&quot;x&quot;;0.0&quot;x&quot;;&quot;-&quot;"/>
    <numFmt numFmtId="178" formatCode="_([$$-409]* #,##0.00_);_([$$-409]* \(#,##0.00\);_([$$-409]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name val="Aptos Narrow"/>
      <family val="2"/>
      <scheme val="minor"/>
    </font>
    <font>
      <i/>
      <sz val="9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  <font>
      <b/>
      <sz val="18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</cellStyleXfs>
  <cellXfs count="292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left" indent="1"/>
    </xf>
    <xf numFmtId="42" fontId="0" fillId="0" borderId="0" xfId="0" applyNumberFormat="1"/>
    <xf numFmtId="37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indent="1"/>
    </xf>
    <xf numFmtId="42" fontId="1" fillId="0" borderId="0" xfId="0" applyNumberFormat="1" applyFont="1"/>
    <xf numFmtId="3" fontId="0" fillId="0" borderId="0" xfId="0" applyNumberFormat="1"/>
    <xf numFmtId="3" fontId="0" fillId="0" borderId="1" xfId="0" applyNumberFormat="1" applyBorder="1"/>
    <xf numFmtId="3" fontId="1" fillId="0" borderId="0" xfId="0" applyNumberFormat="1" applyFont="1"/>
    <xf numFmtId="165" fontId="1" fillId="0" borderId="0" xfId="0" applyNumberFormat="1" applyFont="1"/>
    <xf numFmtId="0" fontId="0" fillId="0" borderId="0" xfId="0" applyAlignment="1">
      <alignment horizontal="left" indent="2"/>
    </xf>
    <xf numFmtId="0" fontId="0" fillId="0" borderId="1" xfId="0" applyBorder="1" applyAlignment="1">
      <alignment horizontal="left" indent="2"/>
    </xf>
    <xf numFmtId="0" fontId="1" fillId="2" borderId="1" xfId="0" applyFont="1" applyFill="1" applyBorder="1"/>
    <xf numFmtId="44" fontId="0" fillId="0" borderId="0" xfId="0" applyNumberFormat="1"/>
    <xf numFmtId="14" fontId="0" fillId="0" borderId="0" xfId="0" applyNumberFormat="1"/>
    <xf numFmtId="9" fontId="0" fillId="0" borderId="0" xfId="0" applyNumberFormat="1"/>
    <xf numFmtId="0" fontId="2" fillId="0" borderId="0" xfId="0" applyFont="1"/>
    <xf numFmtId="167" fontId="0" fillId="0" borderId="0" xfId="0" applyNumberFormat="1"/>
    <xf numFmtId="167" fontId="3" fillId="0" borderId="0" xfId="0" applyNumberFormat="1" applyFont="1"/>
    <xf numFmtId="3" fontId="3" fillId="0" borderId="0" xfId="0" applyNumberFormat="1" applyFont="1"/>
    <xf numFmtId="165" fontId="0" fillId="0" borderId="0" xfId="0" applyNumberFormat="1"/>
    <xf numFmtId="4" fontId="0" fillId="0" borderId="0" xfId="0" applyNumberFormat="1"/>
    <xf numFmtId="1" fontId="0" fillId="0" borderId="0" xfId="0" applyNumberFormat="1"/>
    <xf numFmtId="3" fontId="4" fillId="0" borderId="0" xfId="0" applyNumberFormat="1" applyFont="1"/>
    <xf numFmtId="9" fontId="3" fillId="0" borderId="0" xfId="0" applyNumberFormat="1" applyFont="1"/>
    <xf numFmtId="167" fontId="4" fillId="0" borderId="0" xfId="0" applyNumberFormat="1" applyFont="1"/>
    <xf numFmtId="3" fontId="3" fillId="0" borderId="1" xfId="0" applyNumberFormat="1" applyFont="1" applyBorder="1"/>
    <xf numFmtId="3" fontId="4" fillId="0" borderId="1" xfId="0" applyNumberFormat="1" applyFont="1" applyBorder="1"/>
    <xf numFmtId="168" fontId="1" fillId="2" borderId="1" xfId="0" applyNumberFormat="1" applyFont="1" applyFill="1" applyBorder="1"/>
    <xf numFmtId="168" fontId="1" fillId="3" borderId="1" xfId="0" applyNumberFormat="1" applyFont="1" applyFill="1" applyBorder="1"/>
    <xf numFmtId="0" fontId="5" fillId="0" borderId="0" xfId="0" applyFont="1"/>
    <xf numFmtId="169" fontId="0" fillId="0" borderId="0" xfId="0" applyNumberFormat="1"/>
    <xf numFmtId="10" fontId="0" fillId="0" borderId="0" xfId="0" applyNumberFormat="1"/>
    <xf numFmtId="6" fontId="0" fillId="0" borderId="0" xfId="0" applyNumberFormat="1"/>
    <xf numFmtId="170" fontId="0" fillId="0" borderId="0" xfId="0" applyNumberFormat="1"/>
    <xf numFmtId="44" fontId="7" fillId="0" borderId="0" xfId="0" applyNumberFormat="1" applyFont="1"/>
    <xf numFmtId="170" fontId="7" fillId="0" borderId="0" xfId="0" applyNumberFormat="1" applyFont="1"/>
    <xf numFmtId="3" fontId="7" fillId="0" borderId="1" xfId="0" applyNumberFormat="1" applyFont="1" applyBorder="1"/>
    <xf numFmtId="3" fontId="7" fillId="0" borderId="0" xfId="0" applyNumberFormat="1" applyFont="1"/>
    <xf numFmtId="165" fontId="8" fillId="0" borderId="0" xfId="0" applyNumberFormat="1" applyFont="1"/>
    <xf numFmtId="167" fontId="7" fillId="0" borderId="0" xfId="0" applyNumberFormat="1" applyFont="1"/>
    <xf numFmtId="165" fontId="7" fillId="0" borderId="0" xfId="0" applyNumberFormat="1" applyFont="1"/>
    <xf numFmtId="3" fontId="8" fillId="0" borderId="0" xfId="0" applyNumberFormat="1" applyFont="1"/>
    <xf numFmtId="42" fontId="7" fillId="0" borderId="0" xfId="0" applyNumberFormat="1" applyFont="1"/>
    <xf numFmtId="37" fontId="7" fillId="0" borderId="0" xfId="0" applyNumberFormat="1" applyFont="1"/>
    <xf numFmtId="37" fontId="7" fillId="0" borderId="1" xfId="0" applyNumberFormat="1" applyFont="1" applyBorder="1"/>
    <xf numFmtId="42" fontId="8" fillId="0" borderId="0" xfId="0" applyNumberFormat="1" applyFont="1"/>
    <xf numFmtId="37" fontId="8" fillId="0" borderId="0" xfId="0" applyNumberFormat="1" applyFont="1"/>
    <xf numFmtId="0" fontId="7" fillId="0" borderId="0" xfId="0" applyFont="1"/>
    <xf numFmtId="164" fontId="8" fillId="0" borderId="0" xfId="0" applyNumberFormat="1" applyFont="1"/>
    <xf numFmtId="6" fontId="3" fillId="0" borderId="0" xfId="0" applyNumberFormat="1" applyFont="1"/>
    <xf numFmtId="168" fontId="1" fillId="0" borderId="0" xfId="0" applyNumberFormat="1" applyFont="1"/>
    <xf numFmtId="0" fontId="0" fillId="0" borderId="0" xfId="0" applyAlignment="1">
      <alignment horizontal="left"/>
    </xf>
    <xf numFmtId="3" fontId="0" fillId="0" borderId="0" xfId="1" applyNumberFormat="1" applyFont="1"/>
    <xf numFmtId="0" fontId="9" fillId="0" borderId="0" xfId="0" applyFont="1" applyAlignment="1">
      <alignment vertical="top"/>
    </xf>
    <xf numFmtId="0" fontId="0" fillId="0" borderId="0" xfId="0" applyAlignment="1">
      <alignment vertical="top"/>
    </xf>
    <xf numFmtId="42" fontId="9" fillId="0" borderId="0" xfId="0" applyNumberFormat="1" applyFont="1" applyAlignment="1">
      <alignment vertical="top"/>
    </xf>
    <xf numFmtId="44" fontId="9" fillId="0" borderId="0" xfId="0" applyNumberFormat="1" applyFont="1" applyAlignment="1">
      <alignment vertical="top"/>
    </xf>
    <xf numFmtId="37" fontId="9" fillId="0" borderId="0" xfId="0" applyNumberFormat="1" applyFont="1" applyAlignment="1">
      <alignment vertical="top"/>
    </xf>
    <xf numFmtId="43" fontId="9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1"/>
    </xf>
    <xf numFmtId="0" fontId="10" fillId="0" borderId="0" xfId="0" applyFont="1" applyAlignment="1">
      <alignment vertical="top"/>
    </xf>
    <xf numFmtId="42" fontId="10" fillId="0" borderId="0" xfId="0" applyNumberFormat="1" applyFont="1" applyAlignment="1">
      <alignment vertical="top"/>
    </xf>
    <xf numFmtId="0" fontId="9" fillId="0" borderId="1" xfId="0" applyFont="1" applyBorder="1" applyAlignment="1">
      <alignment vertical="top"/>
    </xf>
    <xf numFmtId="37" fontId="9" fillId="0" borderId="1" xfId="0" applyNumberFormat="1" applyFont="1" applyBorder="1" applyAlignment="1">
      <alignment vertical="top"/>
    </xf>
    <xf numFmtId="0" fontId="1" fillId="0" borderId="1" xfId="0" applyFont="1" applyBorder="1" applyAlignment="1">
      <alignment vertical="top"/>
    </xf>
    <xf numFmtId="0" fontId="1" fillId="0" borderId="0" xfId="0" applyFont="1" applyAlignment="1">
      <alignment vertical="top"/>
    </xf>
    <xf numFmtId="168" fontId="1" fillId="0" borderId="1" xfId="0" applyNumberFormat="1" applyFont="1" applyBorder="1" applyAlignment="1">
      <alignment horizontal="left"/>
    </xf>
    <xf numFmtId="166" fontId="9" fillId="0" borderId="0" xfId="0" applyNumberFormat="1" applyFont="1" applyAlignment="1">
      <alignment vertical="top"/>
    </xf>
    <xf numFmtId="166" fontId="9" fillId="0" borderId="1" xfId="0" applyNumberFormat="1" applyFont="1" applyBorder="1" applyAlignment="1">
      <alignment vertical="top"/>
    </xf>
    <xf numFmtId="166" fontId="10" fillId="0" borderId="0" xfId="0" applyNumberFormat="1" applyFont="1" applyAlignment="1">
      <alignment vertical="top"/>
    </xf>
    <xf numFmtId="42" fontId="0" fillId="0" borderId="0" xfId="0" applyNumberFormat="1" applyAlignment="1">
      <alignment vertical="top"/>
    </xf>
    <xf numFmtId="3" fontId="11" fillId="0" borderId="0" xfId="0" applyNumberFormat="1" applyFont="1"/>
    <xf numFmtId="37" fontId="4" fillId="0" borderId="0" xfId="0" applyNumberFormat="1" applyFont="1"/>
    <xf numFmtId="10" fontId="1" fillId="0" borderId="0" xfId="0" applyNumberFormat="1" applyFont="1"/>
    <xf numFmtId="10" fontId="3" fillId="0" borderId="0" xfId="0" applyNumberFormat="1" applyFont="1"/>
    <xf numFmtId="167" fontId="1" fillId="0" borderId="0" xfId="0" applyNumberFormat="1" applyFont="1"/>
    <xf numFmtId="0" fontId="9" fillId="0" borderId="0" xfId="0" applyFont="1" applyAlignment="1">
      <alignment horizontal="right" vertical="top" indent="1"/>
    </xf>
    <xf numFmtId="171" fontId="9" fillId="0" borderId="0" xfId="2" applyNumberFormat="1" applyFont="1" applyAlignment="1">
      <alignment vertical="top"/>
    </xf>
    <xf numFmtId="171" fontId="9" fillId="0" borderId="1" xfId="2" applyNumberFormat="1" applyFont="1" applyBorder="1" applyAlignment="1">
      <alignment vertical="top"/>
    </xf>
    <xf numFmtId="4" fontId="7" fillId="0" borderId="0" xfId="0" applyNumberFormat="1" applyFont="1"/>
    <xf numFmtId="0" fontId="9" fillId="0" borderId="0" xfId="0" applyFont="1" applyAlignment="1">
      <alignment horizontal="left" vertical="top"/>
    </xf>
    <xf numFmtId="0" fontId="10" fillId="0" borderId="0" xfId="0" applyFont="1" applyAlignment="1">
      <alignment horizontal="right" vertical="top"/>
    </xf>
    <xf numFmtId="37" fontId="10" fillId="0" borderId="0" xfId="0" applyNumberFormat="1" applyFont="1" applyAlignment="1">
      <alignment vertical="top"/>
    </xf>
    <xf numFmtId="0" fontId="9" fillId="0" borderId="0" xfId="0" applyFont="1" applyAlignment="1">
      <alignment horizontal="left" vertical="top" indent="2"/>
    </xf>
    <xf numFmtId="0" fontId="0" fillId="0" borderId="0" xfId="0" applyAlignment="1">
      <alignment horizontal="left" vertical="top" indent="1"/>
    </xf>
    <xf numFmtId="44" fontId="10" fillId="0" borderId="0" xfId="0" applyNumberFormat="1" applyFont="1" applyAlignment="1">
      <alignment vertical="top"/>
    </xf>
    <xf numFmtId="43" fontId="0" fillId="0" borderId="0" xfId="0" applyNumberFormat="1"/>
    <xf numFmtId="0" fontId="10" fillId="0" borderId="1" xfId="0" applyFont="1" applyBorder="1" applyAlignment="1">
      <alignment vertical="top"/>
    </xf>
    <xf numFmtId="0" fontId="1" fillId="0" borderId="1" xfId="0" applyFont="1" applyBorder="1"/>
    <xf numFmtId="168" fontId="1" fillId="0" borderId="0" xfId="0" applyNumberFormat="1" applyFont="1" applyAlignment="1">
      <alignment horizontal="left"/>
    </xf>
    <xf numFmtId="0" fontId="0" fillId="0" borderId="3" xfId="0" applyBorder="1"/>
    <xf numFmtId="3" fontId="0" fillId="0" borderId="6" xfId="0" applyNumberFormat="1" applyBorder="1"/>
    <xf numFmtId="3" fontId="0" fillId="0" borderId="7" xfId="0" applyNumberFormat="1" applyBorder="1"/>
    <xf numFmtId="0" fontId="1" fillId="0" borderId="8" xfId="0" applyFont="1" applyBorder="1"/>
    <xf numFmtId="0" fontId="0" fillId="0" borderId="8" xfId="0" applyBorder="1"/>
    <xf numFmtId="168" fontId="1" fillId="0" borderId="6" xfId="0" applyNumberFormat="1" applyFont="1" applyBorder="1" applyAlignment="1">
      <alignment horizontal="left"/>
    </xf>
    <xf numFmtId="168" fontId="1" fillId="0" borderId="7" xfId="0" applyNumberFormat="1" applyFont="1" applyBorder="1" applyAlignment="1">
      <alignment horizontal="left"/>
    </xf>
    <xf numFmtId="3" fontId="9" fillId="0" borderId="0" xfId="0" applyNumberFormat="1" applyFont="1" applyAlignment="1">
      <alignment vertical="top"/>
    </xf>
    <xf numFmtId="168" fontId="1" fillId="0" borderId="9" xfId="0" applyNumberFormat="1" applyFont="1" applyBorder="1" applyAlignment="1">
      <alignment horizontal="left"/>
    </xf>
    <xf numFmtId="0" fontId="10" fillId="0" borderId="5" xfId="0" applyFont="1" applyBorder="1" applyAlignment="1">
      <alignment vertical="top"/>
    </xf>
    <xf numFmtId="3" fontId="9" fillId="0" borderId="8" xfId="0" applyNumberFormat="1" applyFont="1" applyBorder="1" applyAlignment="1">
      <alignment vertical="top"/>
    </xf>
    <xf numFmtId="1" fontId="0" fillId="0" borderId="8" xfId="0" applyNumberFormat="1" applyBorder="1"/>
    <xf numFmtId="3" fontId="9" fillId="0" borderId="5" xfId="0" applyNumberFormat="1" applyFont="1" applyBorder="1" applyAlignment="1">
      <alignment vertical="top"/>
    </xf>
    <xf numFmtId="0" fontId="0" fillId="0" borderId="2" xfId="0" applyBorder="1"/>
    <xf numFmtId="0" fontId="0" fillId="0" borderId="4" xfId="0" applyBorder="1"/>
    <xf numFmtId="3" fontId="7" fillId="0" borderId="0" xfId="0" applyNumberFormat="1" applyFont="1" applyAlignment="1">
      <alignment horizontal="right"/>
    </xf>
    <xf numFmtId="37" fontId="0" fillId="0" borderId="0" xfId="0" applyNumberFormat="1" applyAlignment="1">
      <alignment vertical="top"/>
    </xf>
    <xf numFmtId="9" fontId="1" fillId="0" borderId="0" xfId="0" applyNumberFormat="1" applyFont="1"/>
    <xf numFmtId="8" fontId="0" fillId="0" borderId="0" xfId="0" applyNumberFormat="1"/>
    <xf numFmtId="172" fontId="0" fillId="0" borderId="0" xfId="0" applyNumberFormat="1"/>
    <xf numFmtId="44" fontId="0" fillId="0" borderId="0" xfId="3" applyFont="1"/>
    <xf numFmtId="44" fontId="0" fillId="0" borderId="2" xfId="3" applyFont="1" applyBorder="1"/>
    <xf numFmtId="44" fontId="0" fillId="0" borderId="3" xfId="0" applyNumberFormat="1" applyBorder="1"/>
    <xf numFmtId="0" fontId="12" fillId="0" borderId="0" xfId="0" applyFont="1"/>
    <xf numFmtId="3" fontId="0" fillId="0" borderId="2" xfId="0" applyNumberFormat="1" applyBorder="1"/>
    <xf numFmtId="3" fontId="7" fillId="0" borderId="3" xfId="0" applyNumberFormat="1" applyFont="1" applyBorder="1"/>
    <xf numFmtId="6" fontId="7" fillId="0" borderId="3" xfId="0" applyNumberFormat="1" applyFont="1" applyBorder="1"/>
    <xf numFmtId="4" fontId="7" fillId="0" borderId="3" xfId="0" applyNumberFormat="1" applyFont="1" applyBorder="1"/>
    <xf numFmtId="9" fontId="4" fillId="0" borderId="3" xfId="0" applyNumberFormat="1" applyFont="1" applyBorder="1"/>
    <xf numFmtId="0" fontId="7" fillId="0" borderId="3" xfId="0" applyFont="1" applyBorder="1"/>
    <xf numFmtId="3" fontId="7" fillId="0" borderId="8" xfId="0" applyNumberFormat="1" applyFont="1" applyBorder="1"/>
    <xf numFmtId="3" fontId="0" fillId="0" borderId="8" xfId="0" applyNumberFormat="1" applyBorder="1"/>
    <xf numFmtId="0" fontId="1" fillId="0" borderId="8" xfId="0" applyFont="1" applyBorder="1" applyAlignment="1">
      <alignment horizontal="left"/>
    </xf>
    <xf numFmtId="168" fontId="1" fillId="2" borderId="1" xfId="0" applyNumberFormat="1" applyFont="1" applyFill="1" applyBorder="1" applyAlignment="1">
      <alignment horizontal="right"/>
    </xf>
    <xf numFmtId="168" fontId="1" fillId="3" borderId="1" xfId="0" applyNumberFormat="1" applyFont="1" applyFill="1" applyBorder="1" applyAlignment="1">
      <alignment horizontal="right"/>
    </xf>
    <xf numFmtId="42" fontId="11" fillId="0" borderId="0" xfId="0" applyNumberFormat="1" applyFont="1"/>
    <xf numFmtId="37" fontId="11" fillId="0" borderId="0" xfId="0" applyNumberFormat="1" applyFont="1"/>
    <xf numFmtId="166" fontId="0" fillId="0" borderId="0" xfId="0" applyNumberFormat="1"/>
    <xf numFmtId="166" fontId="1" fillId="0" borderId="0" xfId="0" applyNumberFormat="1" applyFont="1"/>
    <xf numFmtId="42" fontId="4" fillId="0" borderId="0" xfId="0" applyNumberFormat="1" applyFont="1"/>
    <xf numFmtId="37" fontId="4" fillId="0" borderId="1" xfId="0" applyNumberFormat="1" applyFont="1" applyBorder="1"/>
    <xf numFmtId="164" fontId="11" fillId="0" borderId="0" xfId="0" applyNumberFormat="1" applyFont="1"/>
    <xf numFmtId="0" fontId="4" fillId="0" borderId="0" xfId="0" applyFont="1"/>
    <xf numFmtId="9" fontId="4" fillId="0" borderId="0" xfId="0" applyNumberFormat="1" applyFont="1"/>
    <xf numFmtId="173" fontId="4" fillId="0" borderId="0" xfId="0" applyNumberFormat="1" applyFont="1"/>
    <xf numFmtId="173" fontId="11" fillId="0" borderId="0" xfId="0" applyNumberFormat="1" applyFont="1"/>
    <xf numFmtId="174" fontId="7" fillId="0" borderId="0" xfId="0" applyNumberFormat="1" applyFont="1"/>
    <xf numFmtId="175" fontId="4" fillId="0" borderId="0" xfId="2" applyNumberFormat="1" applyFont="1"/>
    <xf numFmtId="175" fontId="7" fillId="0" borderId="0" xfId="0" applyNumberFormat="1" applyFont="1"/>
    <xf numFmtId="37" fontId="1" fillId="0" borderId="0" xfId="0" applyNumberFormat="1" applyFont="1"/>
    <xf numFmtId="37" fontId="1" fillId="0" borderId="1" xfId="0" applyNumberFormat="1" applyFont="1" applyBorder="1"/>
    <xf numFmtId="37" fontId="0" fillId="0" borderId="1" xfId="0" applyNumberFormat="1" applyBorder="1"/>
    <xf numFmtId="3" fontId="4" fillId="0" borderId="0" xfId="0" applyNumberFormat="1" applyFont="1" applyAlignment="1">
      <alignment horizontal="right"/>
    </xf>
    <xf numFmtId="170" fontId="1" fillId="0" borderId="0" xfId="0" applyNumberFormat="1" applyFont="1"/>
    <xf numFmtId="3" fontId="1" fillId="0" borderId="1" xfId="0" applyNumberFormat="1" applyFont="1" applyBorder="1"/>
    <xf numFmtId="0" fontId="0" fillId="0" borderId="8" xfId="0" applyBorder="1" applyAlignment="1">
      <alignment horizontal="left" indent="2"/>
    </xf>
    <xf numFmtId="3" fontId="4" fillId="0" borderId="8" xfId="0" applyNumberFormat="1" applyFont="1" applyBorder="1"/>
    <xf numFmtId="4" fontId="0" fillId="0" borderId="1" xfId="0" applyNumberFormat="1" applyBorder="1"/>
    <xf numFmtId="9" fontId="11" fillId="0" borderId="0" xfId="0" applyNumberFormat="1" applyFont="1"/>
    <xf numFmtId="0" fontId="0" fillId="0" borderId="10" xfId="0" applyBorder="1" applyAlignment="1">
      <alignment horizontal="left" indent="1"/>
    </xf>
    <xf numFmtId="0" fontId="0" fillId="0" borderId="11" xfId="0" applyBorder="1" applyAlignment="1">
      <alignment horizontal="left" indent="1"/>
    </xf>
    <xf numFmtId="0" fontId="1" fillId="0" borderId="12" xfId="0" applyFont="1" applyBorder="1"/>
    <xf numFmtId="167" fontId="11" fillId="0" borderId="0" xfId="0" applyNumberFormat="1" applyFont="1"/>
    <xf numFmtId="4" fontId="11" fillId="0" borderId="0" xfId="0" applyNumberFormat="1" applyFont="1"/>
    <xf numFmtId="4" fontId="4" fillId="0" borderId="0" xfId="0" applyNumberFormat="1" applyFont="1"/>
    <xf numFmtId="0" fontId="1" fillId="0" borderId="0" xfId="0" applyFont="1" applyAlignment="1">
      <alignment horizontal="left" indent="2"/>
    </xf>
    <xf numFmtId="4" fontId="3" fillId="0" borderId="0" xfId="0" applyNumberFormat="1" applyFont="1"/>
    <xf numFmtId="0" fontId="0" fillId="0" borderId="13" xfId="0" applyBorder="1"/>
    <xf numFmtId="167" fontId="0" fillId="4" borderId="0" xfId="0" applyNumberFormat="1" applyFill="1"/>
    <xf numFmtId="3" fontId="0" fillId="4" borderId="0" xfId="0" applyNumberFormat="1" applyFill="1"/>
    <xf numFmtId="167" fontId="0" fillId="3" borderId="0" xfId="0" applyNumberFormat="1" applyFill="1"/>
    <xf numFmtId="3" fontId="0" fillId="3" borderId="0" xfId="0" applyNumberFormat="1" applyFill="1"/>
    <xf numFmtId="167" fontId="0" fillId="5" borderId="0" xfId="0" applyNumberFormat="1" applyFill="1"/>
    <xf numFmtId="3" fontId="0" fillId="5" borderId="0" xfId="0" applyNumberFormat="1" applyFill="1"/>
    <xf numFmtId="167" fontId="0" fillId="6" borderId="0" xfId="0" applyNumberFormat="1" applyFill="1"/>
    <xf numFmtId="3" fontId="0" fillId="6" borderId="0" xfId="0" applyNumberFormat="1" applyFill="1"/>
    <xf numFmtId="3" fontId="0" fillId="0" borderId="14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3" fontId="0" fillId="0" borderId="17" xfId="0" applyNumberFormat="1" applyBorder="1"/>
    <xf numFmtId="3" fontId="0" fillId="0" borderId="18" xfId="0" applyNumberFormat="1" applyBorder="1"/>
    <xf numFmtId="3" fontId="0" fillId="0" borderId="19" xfId="0" applyNumberFormat="1" applyBorder="1"/>
    <xf numFmtId="3" fontId="0" fillId="0" borderId="20" xfId="0" applyNumberFormat="1" applyBorder="1"/>
    <xf numFmtId="3" fontId="0" fillId="0" borderId="21" xfId="0" applyNumberFormat="1" applyBorder="1"/>
    <xf numFmtId="3" fontId="0" fillId="0" borderId="22" xfId="0" applyNumberFormat="1" applyBorder="1"/>
    <xf numFmtId="3" fontId="1" fillId="0" borderId="18" xfId="0" applyNumberFormat="1" applyFont="1" applyBorder="1"/>
    <xf numFmtId="3" fontId="1" fillId="0" borderId="17" xfId="0" applyNumberFormat="1" applyFont="1" applyBorder="1"/>
    <xf numFmtId="3" fontId="1" fillId="0" borderId="19" xfId="0" applyNumberFormat="1" applyFont="1" applyBorder="1"/>
    <xf numFmtId="3" fontId="1" fillId="0" borderId="15" xfId="0" applyNumberFormat="1" applyFont="1" applyBorder="1"/>
    <xf numFmtId="3" fontId="1" fillId="0" borderId="21" xfId="0" applyNumberFormat="1" applyFont="1" applyBorder="1"/>
    <xf numFmtId="167" fontId="3" fillId="0" borderId="0" xfId="1" applyNumberFormat="1" applyFont="1"/>
    <xf numFmtId="43" fontId="0" fillId="0" borderId="0" xfId="2" applyFont="1"/>
    <xf numFmtId="168" fontId="0" fillId="0" borderId="0" xfId="0" applyNumberFormat="1"/>
    <xf numFmtId="0" fontId="15" fillId="0" borderId="0" xfId="0" applyFont="1"/>
    <xf numFmtId="0" fontId="2" fillId="0" borderId="0" xfId="0" applyFont="1" applyAlignment="1">
      <alignment horizontal="left" indent="2"/>
    </xf>
    <xf numFmtId="0" fontId="13" fillId="0" borderId="0" xfId="0" applyFont="1"/>
    <xf numFmtId="14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44" fontId="0" fillId="4" borderId="0" xfId="0" applyNumberFormat="1" applyFill="1"/>
    <xf numFmtId="44" fontId="0" fillId="3" borderId="0" xfId="0" applyNumberFormat="1" applyFill="1"/>
    <xf numFmtId="44" fontId="0" fillId="5" borderId="0" xfId="0" applyNumberFormat="1" applyFill="1"/>
    <xf numFmtId="44" fontId="0" fillId="6" borderId="0" xfId="0" applyNumberFormat="1" applyFill="1"/>
    <xf numFmtId="43" fontId="0" fillId="0" borderId="0" xfId="0" applyNumberFormat="1" applyAlignment="1">
      <alignment horizontal="left" indent="1"/>
    </xf>
    <xf numFmtId="0" fontId="0" fillId="0" borderId="0" xfId="0" applyAlignment="1">
      <alignment vertical="center" textRotation="90"/>
    </xf>
    <xf numFmtId="176" fontId="0" fillId="0" borderId="0" xfId="0" applyNumberFormat="1"/>
    <xf numFmtId="3" fontId="0" fillId="0" borderId="0" xfId="0" applyNumberFormat="1" applyAlignment="1">
      <alignment wrapText="1"/>
    </xf>
    <xf numFmtId="6" fontId="0" fillId="0" borderId="0" xfId="3" applyNumberFormat="1" applyFont="1" applyFill="1"/>
    <xf numFmtId="177" fontId="0" fillId="0" borderId="0" xfId="0" applyNumberFormat="1"/>
    <xf numFmtId="178" fontId="0" fillId="0" borderId="0" xfId="0" applyNumberFormat="1"/>
    <xf numFmtId="8" fontId="0" fillId="0" borderId="0" xfId="3" applyNumberFormat="1" applyFont="1" applyFill="1"/>
    <xf numFmtId="8" fontId="0" fillId="0" borderId="0" xfId="3" applyNumberFormat="1" applyFont="1" applyAlignment="1"/>
    <xf numFmtId="0" fontId="0" fillId="0" borderId="1" xfId="0" applyBorder="1" applyAlignment="1">
      <alignment horizontal="left"/>
    </xf>
    <xf numFmtId="0" fontId="1" fillId="0" borderId="1" xfId="0" applyFont="1" applyBorder="1" applyAlignment="1">
      <alignment horizontal="left"/>
    </xf>
    <xf numFmtId="10" fontId="0" fillId="0" borderId="0" xfId="1" applyNumberFormat="1" applyFont="1"/>
    <xf numFmtId="14" fontId="3" fillId="0" borderId="0" xfId="0" applyNumberFormat="1" applyFont="1"/>
    <xf numFmtId="0" fontId="3" fillId="0" borderId="0" xfId="0" applyFont="1"/>
    <xf numFmtId="3" fontId="0" fillId="0" borderId="0" xfId="0" applyNumberFormat="1" applyAlignment="1">
      <alignment horizontal="left"/>
    </xf>
    <xf numFmtId="8" fontId="0" fillId="0" borderId="0" xfId="0" applyNumberFormat="1" applyAlignment="1">
      <alignment horizontal="left"/>
    </xf>
    <xf numFmtId="176" fontId="1" fillId="0" borderId="1" xfId="0" applyNumberFormat="1" applyFont="1" applyBorder="1" applyAlignment="1">
      <alignment horizontal="left"/>
    </xf>
    <xf numFmtId="8" fontId="0" fillId="0" borderId="1" xfId="0" applyNumberFormat="1" applyBorder="1" applyAlignment="1">
      <alignment horizontal="left"/>
    </xf>
    <xf numFmtId="6" fontId="0" fillId="0" borderId="0" xfId="0" applyNumberFormat="1" applyAlignment="1">
      <alignment horizontal="left"/>
    </xf>
    <xf numFmtId="6" fontId="0" fillId="0" borderId="1" xfId="0" applyNumberFormat="1" applyBorder="1" applyAlignment="1">
      <alignment horizontal="left"/>
    </xf>
    <xf numFmtId="168" fontId="1" fillId="7" borderId="0" xfId="0" applyNumberFormat="1" applyFont="1" applyFill="1" applyAlignment="1">
      <alignment horizontal="right" indent="2"/>
    </xf>
    <xf numFmtId="168" fontId="1" fillId="7" borderId="1" xfId="0" applyNumberFormat="1" applyFont="1" applyFill="1" applyBorder="1" applyAlignment="1">
      <alignment horizontal="right" indent="2"/>
    </xf>
    <xf numFmtId="0" fontId="1" fillId="0" borderId="0" xfId="0" applyFont="1" applyAlignment="1">
      <alignment horizontal="right" indent="2"/>
    </xf>
    <xf numFmtId="0" fontId="1" fillId="7" borderId="0" xfId="0" applyFont="1" applyFill="1" applyAlignment="1">
      <alignment horizontal="right" indent="2"/>
    </xf>
    <xf numFmtId="0" fontId="1" fillId="7" borderId="1" xfId="0" applyFont="1" applyFill="1" applyBorder="1" applyAlignment="1">
      <alignment horizontal="right" indent="2"/>
    </xf>
    <xf numFmtId="4" fontId="0" fillId="0" borderId="14" xfId="0" applyNumberFormat="1" applyBorder="1"/>
    <xf numFmtId="4" fontId="0" fillId="0" borderId="15" xfId="0" applyNumberFormat="1" applyBorder="1"/>
    <xf numFmtId="4" fontId="1" fillId="0" borderId="15" xfId="0" applyNumberFormat="1" applyFont="1" applyBorder="1"/>
    <xf numFmtId="4" fontId="0" fillId="0" borderId="16" xfId="0" applyNumberFormat="1" applyBorder="1"/>
    <xf numFmtId="4" fontId="0" fillId="0" borderId="17" xfId="0" applyNumberFormat="1" applyBorder="1"/>
    <xf numFmtId="4" fontId="0" fillId="0" borderId="18" xfId="0" applyNumberFormat="1" applyBorder="1"/>
    <xf numFmtId="4" fontId="1" fillId="0" borderId="18" xfId="0" applyNumberFormat="1" applyFont="1" applyBorder="1"/>
    <xf numFmtId="4" fontId="0" fillId="0" borderId="19" xfId="0" applyNumberFormat="1" applyBorder="1"/>
    <xf numFmtId="4" fontId="1" fillId="0" borderId="17" xfId="0" applyNumberFormat="1" applyFont="1" applyBorder="1"/>
    <xf numFmtId="4" fontId="1" fillId="0" borderId="19" xfId="0" applyNumberFormat="1" applyFont="1" applyBorder="1"/>
    <xf numFmtId="4" fontId="0" fillId="0" borderId="20" xfId="0" applyNumberFormat="1" applyBorder="1"/>
    <xf numFmtId="4" fontId="0" fillId="0" borderId="21" xfId="0" applyNumberFormat="1" applyBorder="1"/>
    <xf numFmtId="4" fontId="1" fillId="0" borderId="21" xfId="0" applyNumberFormat="1" applyFont="1" applyBorder="1"/>
    <xf numFmtId="4" fontId="0" fillId="0" borderId="22" xfId="0" applyNumberFormat="1" applyBorder="1"/>
    <xf numFmtId="4" fontId="0" fillId="0" borderId="24" xfId="0" applyNumberFormat="1" applyBorder="1"/>
    <xf numFmtId="4" fontId="1" fillId="0" borderId="24" xfId="0" applyNumberFormat="1" applyFont="1" applyBorder="1"/>
    <xf numFmtId="4" fontId="0" fillId="0" borderId="25" xfId="0" applyNumberFormat="1" applyBorder="1"/>
    <xf numFmtId="4" fontId="1" fillId="0" borderId="25" xfId="0" applyNumberFormat="1" applyFont="1" applyBorder="1"/>
    <xf numFmtId="4" fontId="0" fillId="0" borderId="26" xfId="0" applyNumberFormat="1" applyBorder="1"/>
    <xf numFmtId="4" fontId="1" fillId="0" borderId="26" xfId="0" applyNumberFormat="1" applyFont="1" applyBorder="1"/>
    <xf numFmtId="4" fontId="0" fillId="0" borderId="27" xfId="0" applyNumberFormat="1" applyBorder="1"/>
    <xf numFmtId="4" fontId="1" fillId="0" borderId="27" xfId="0" applyNumberFormat="1" applyFont="1" applyBorder="1"/>
    <xf numFmtId="4" fontId="0" fillId="0" borderId="28" xfId="0" applyNumberFormat="1" applyBorder="1"/>
    <xf numFmtId="4" fontId="1" fillId="0" borderId="29" xfId="0" applyNumberFormat="1" applyFont="1" applyBorder="1"/>
    <xf numFmtId="4" fontId="0" fillId="0" borderId="30" xfId="0" applyNumberFormat="1" applyBorder="1"/>
    <xf numFmtId="4" fontId="0" fillId="0" borderId="31" xfId="0" applyNumberFormat="1" applyBorder="1"/>
    <xf numFmtId="4" fontId="0" fillId="0" borderId="32" xfId="0" applyNumberFormat="1" applyBorder="1"/>
    <xf numFmtId="4" fontId="1" fillId="0" borderId="31" xfId="0" applyNumberFormat="1" applyFont="1" applyBorder="1"/>
    <xf numFmtId="4" fontId="1" fillId="0" borderId="32" xfId="0" applyNumberFormat="1" applyFont="1" applyBorder="1"/>
    <xf numFmtId="4" fontId="0" fillId="0" borderId="33" xfId="0" applyNumberFormat="1" applyBorder="1"/>
    <xf numFmtId="4" fontId="1" fillId="0" borderId="34" xfId="0" applyNumberFormat="1" applyFont="1" applyBorder="1"/>
    <xf numFmtId="4" fontId="0" fillId="0" borderId="35" xfId="0" applyNumberFormat="1" applyBorder="1"/>
    <xf numFmtId="4" fontId="0" fillId="0" borderId="29" xfId="0" applyNumberFormat="1" applyBorder="1"/>
    <xf numFmtId="4" fontId="0" fillId="0" borderId="34" xfId="0" applyNumberFormat="1" applyBorder="1"/>
    <xf numFmtId="3" fontId="0" fillId="0" borderId="24" xfId="0" applyNumberFormat="1" applyBorder="1"/>
    <xf numFmtId="3" fontId="1" fillId="0" borderId="24" xfId="0" applyNumberFormat="1" applyFont="1" applyBorder="1"/>
    <xf numFmtId="3" fontId="0" fillId="0" borderId="25" xfId="0" applyNumberFormat="1" applyBorder="1"/>
    <xf numFmtId="3" fontId="1" fillId="0" borderId="25" xfId="0" applyNumberFormat="1" applyFont="1" applyBorder="1"/>
    <xf numFmtId="3" fontId="0" fillId="0" borderId="26" xfId="0" applyNumberFormat="1" applyBorder="1"/>
    <xf numFmtId="3" fontId="1" fillId="0" borderId="26" xfId="0" applyNumberFormat="1" applyFont="1" applyBorder="1"/>
    <xf numFmtId="3" fontId="0" fillId="0" borderId="27" xfId="0" applyNumberFormat="1" applyBorder="1"/>
    <xf numFmtId="3" fontId="1" fillId="0" borderId="27" xfId="0" applyNumberFormat="1" applyFont="1" applyBorder="1"/>
    <xf numFmtId="3" fontId="0" fillId="0" borderId="28" xfId="0" applyNumberFormat="1" applyBorder="1"/>
    <xf numFmtId="3" fontId="0" fillId="0" borderId="29" xfId="0" applyNumberFormat="1" applyBorder="1"/>
    <xf numFmtId="3" fontId="1" fillId="0" borderId="29" xfId="0" applyNumberFormat="1" applyFont="1" applyBorder="1"/>
    <xf numFmtId="3" fontId="0" fillId="0" borderId="30" xfId="0" applyNumberFormat="1" applyBorder="1"/>
    <xf numFmtId="3" fontId="0" fillId="0" borderId="31" xfId="0" applyNumberFormat="1" applyBorder="1"/>
    <xf numFmtId="3" fontId="0" fillId="0" borderId="32" xfId="0" applyNumberFormat="1" applyBorder="1"/>
    <xf numFmtId="3" fontId="1" fillId="0" borderId="31" xfId="0" applyNumberFormat="1" applyFont="1" applyBorder="1"/>
    <xf numFmtId="3" fontId="1" fillId="0" borderId="32" xfId="0" applyNumberFormat="1" applyFont="1" applyBorder="1"/>
    <xf numFmtId="3" fontId="0" fillId="0" borderId="33" xfId="0" applyNumberFormat="1" applyBorder="1"/>
    <xf numFmtId="3" fontId="0" fillId="0" borderId="34" xfId="0" applyNumberFormat="1" applyBorder="1"/>
    <xf numFmtId="3" fontId="1" fillId="0" borderId="34" xfId="0" applyNumberFormat="1" applyFont="1" applyBorder="1"/>
    <xf numFmtId="3" fontId="0" fillId="0" borderId="35" xfId="0" applyNumberFormat="1" applyBorder="1"/>
    <xf numFmtId="9" fontId="0" fillId="0" borderId="1" xfId="0" applyNumberFormat="1" applyBorder="1"/>
    <xf numFmtId="0" fontId="16" fillId="0" borderId="0" xfId="0" applyFont="1"/>
    <xf numFmtId="168" fontId="11" fillId="0" borderId="0" xfId="0" applyNumberFormat="1" applyFont="1" applyAlignment="1">
      <alignment horizontal="right"/>
    </xf>
    <xf numFmtId="44" fontId="4" fillId="0" borderId="0" xfId="0" applyNumberFormat="1" applyFont="1"/>
    <xf numFmtId="43" fontId="0" fillId="0" borderId="0" xfId="2" applyFont="1" applyBorder="1"/>
    <xf numFmtId="0" fontId="1" fillId="8" borderId="1" xfId="0" applyFont="1" applyFill="1" applyBorder="1"/>
    <xf numFmtId="0" fontId="1" fillId="8" borderId="4" xfId="0" applyFont="1" applyFill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textRotation="90"/>
    </xf>
    <xf numFmtId="0" fontId="13" fillId="0" borderId="0" xfId="0" applyFont="1" applyAlignment="1">
      <alignment horizontal="center"/>
    </xf>
    <xf numFmtId="0" fontId="0" fillId="0" borderId="23" xfId="0" applyBorder="1" applyAlignment="1">
      <alignment horizontal="center" vertical="center" textRotation="90"/>
    </xf>
    <xf numFmtId="0" fontId="0" fillId="0" borderId="0" xfId="0" applyNumberFormat="1" applyFont="1" applyBorder="1"/>
    <xf numFmtId="0" fontId="0" fillId="0" borderId="0" xfId="0" applyBorder="1"/>
    <xf numFmtId="2" fontId="0" fillId="0" borderId="0" xfId="0" applyNumberFormat="1"/>
  </cellXfs>
  <cellStyles count="4">
    <cellStyle name="Comma" xfId="2" builtinId="3"/>
    <cellStyle name="Currency" xfId="3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F6FC04"/>
      <color rgb="FFFFCCCC"/>
      <color rgb="FFFFFF99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17/06/relationships/rdSupportingPropertyBagStructure" Target="richData/rdsupportingpropertybag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ichStyles" Target="richData/richStyle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17/06/relationships/rdArray" Target="richData/rdarray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36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17/06/relationships/rdRichValue" Target="richData/rdrichvalue.xml"/><Relationship Id="rId35" Type="http://schemas.microsoft.com/office/2017/06/relationships/rdSupportingPropertyBag" Target="richData/rdsupportingpropertybag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OKTA Share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Evaluation!$N$13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Evaluation!$N$14:$N$20</c:f>
              <c:numCache>
                <c:formatCode>"$"#,##0.00_);[Red]\("$"#,##0.00\)</c:formatCode>
                <c:ptCount val="7"/>
                <c:pt idx="0">
                  <c:v>68.77</c:v>
                </c:pt>
                <c:pt idx="1">
                  <c:v>75</c:v>
                </c:pt>
                <c:pt idx="2">
                  <c:v>137.44682451994774</c:v>
                </c:pt>
                <c:pt idx="3">
                  <c:v>46.252609381164767</c:v>
                </c:pt>
                <c:pt idx="4">
                  <c:v>60.669343077687202</c:v>
                </c:pt>
                <c:pt idx="5">
                  <c:v>76.725533719829571</c:v>
                </c:pt>
                <c:pt idx="6">
                  <c:v>65.585233420715042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F-482D-8BFA-3A3B02A9B1A1}"/>
            </c:ext>
          </c:extLst>
        </c:ser>
        <c:ser>
          <c:idx val="1"/>
          <c:order val="1"/>
          <c:tx>
            <c:strRef>
              <c:f>Evaluation!$O$13</c:f>
              <c:strCache>
                <c:ptCount val="1"/>
                <c:pt idx="0">
                  <c:v>Difference</c:v>
                </c:pt>
              </c:strCache>
            </c:strRef>
          </c:tx>
          <c:spPr>
            <a:solidFill>
              <a:schemeClr val="accent1"/>
            </a:solidFill>
            <a:ln cap="sq">
              <a:solidFill>
                <a:schemeClr val="accent1"/>
              </a:solidFill>
            </a:ln>
            <a:effectLst>
              <a:softEdge rad="0"/>
            </a:effectLst>
          </c:spPr>
          <c:invertIfNegative val="0"/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Evaluation!$O$14:$O$20</c:f>
              <c:numCache>
                <c:formatCode>"$"#,##0.00_);[Red]\("$"#,##0.00\)</c:formatCode>
                <c:ptCount val="7"/>
                <c:pt idx="0">
                  <c:v>58.796999999999997</c:v>
                </c:pt>
                <c:pt idx="1">
                  <c:v>65</c:v>
                </c:pt>
                <c:pt idx="2">
                  <c:v>219.99175586446441</c:v>
                </c:pt>
                <c:pt idx="3">
                  <c:v>60.294095398596092</c:v>
                </c:pt>
                <c:pt idx="4">
                  <c:v>121.33868615537439</c:v>
                </c:pt>
                <c:pt idx="5">
                  <c:v>153.45106743965914</c:v>
                </c:pt>
                <c:pt idx="6">
                  <c:v>98.228038373584695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FF-482D-8BFA-3A3B02A9B1A1}"/>
            </c:ext>
          </c:extLst>
        </c:ser>
        <c:ser>
          <c:idx val="2"/>
          <c:order val="2"/>
          <c:tx>
            <c:strRef>
              <c:f>Evaluation!$P$13</c:f>
              <c:strCache>
                <c:ptCount val="1"/>
                <c:pt idx="0">
                  <c:v>High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Evaluation!$M$14:$M$20</c:f>
              <c:strCache>
                <c:ptCount val="7"/>
                <c:pt idx="0">
                  <c:v>52-Week Trading Range</c:v>
                </c:pt>
                <c:pt idx="1">
                  <c:v>Analyst Forecasts</c:v>
                </c:pt>
                <c:pt idx="2">
                  <c:v>Revenue Comparables</c:v>
                </c:pt>
                <c:pt idx="3">
                  <c:v>EBITDA Comparables</c:v>
                </c:pt>
                <c:pt idx="4">
                  <c:v>Forward PE (2027)</c:v>
                </c:pt>
                <c:pt idx="5">
                  <c:v>Forward PE (2028)</c:v>
                </c:pt>
                <c:pt idx="6">
                  <c:v>DCF Implied Share Price</c:v>
                </c:pt>
              </c:strCache>
            </c:strRef>
          </c:cat>
          <c:val>
            <c:numRef>
              <c:f>Evaluation!$P$14:$P$20</c:f>
              <c:numCache>
                <c:formatCode>"$"#,##0.00_);[Red]\("$"#,##0.00\)</c:formatCode>
                <c:ptCount val="7"/>
                <c:pt idx="0">
                  <c:v>127.56699999999999</c:v>
                </c:pt>
                <c:pt idx="1">
                  <c:v>140</c:v>
                </c:pt>
                <c:pt idx="2">
                  <c:v>357.43858038441215</c:v>
                </c:pt>
                <c:pt idx="3">
                  <c:v>106.54670477976086</c:v>
                </c:pt>
                <c:pt idx="4">
                  <c:v>182.00802923306159</c:v>
                </c:pt>
                <c:pt idx="5">
                  <c:v>230.17660115948871</c:v>
                </c:pt>
                <c:pt idx="6">
                  <c:v>163.81327179429974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FF-482D-8BFA-3A3B02A9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03637487"/>
        <c:axId val="903641807"/>
      </c:barChart>
      <c:catAx>
        <c:axId val="90363748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41807"/>
        <c:crosses val="autoZero"/>
        <c:auto val="1"/>
        <c:lblAlgn val="ctr"/>
        <c:lblOffset val="100"/>
        <c:noMultiLvlLbl val="0"/>
      </c:catAx>
      <c:valAx>
        <c:axId val="903641807"/>
        <c:scaling>
          <c:orientation val="minMax"/>
          <c:max val="375"/>
          <c:min val="0"/>
        </c:scaling>
        <c:delete val="0"/>
        <c:axPos val="b"/>
        <c:numFmt formatCode="&quot;$&quot;#,##0.00_);[Red]\(&quot;$&quot;#,##0.00\)" sourceLinked="1"/>
        <c:majorTickMark val="none"/>
        <c:minorTickMark val="in"/>
        <c:tickLblPos val="nextTo"/>
        <c:spPr>
          <a:noFill/>
          <a:ln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3637487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Summary!$AN$5:$AN$13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0.10863848920863317</c:v>
                </c:pt>
                <c:pt idx="5">
                  <c:v>0.10145433133842663</c:v>
                </c:pt>
                <c:pt idx="6">
                  <c:v>0.10230195102044259</c:v>
                </c:pt>
                <c:pt idx="7">
                  <c:v>0.12432038834951453</c:v>
                </c:pt>
                <c:pt idx="8">
                  <c:v>0.12429304050391221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Summary!$AM$5:$AM$13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3236.1157499999999</c:v>
                </c:pt>
                <c:pt idx="5">
                  <c:v>3564.4337095500009</c:v>
                </c:pt>
                <c:pt idx="6">
                  <c:v>3929.08223232</c:v>
                </c:pt>
                <c:pt idx="7">
                  <c:v>4417.5472612991998</c:v>
                </c:pt>
                <c:pt idx="8">
                  <c:v>4966.6176419758076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ser>
          <c:idx val="2"/>
          <c:order val="2"/>
          <c:tx>
            <c:strRef>
              <c:f>Summary!$AO$4</c:f>
              <c:strCache>
                <c:ptCount val="1"/>
                <c:pt idx="0">
                  <c:v>Vert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rgbClr val="FFC000"/>
                </a:solidFill>
                <a:prstDash val="dash"/>
                <a:round/>
              </a:ln>
              <a:effectLst/>
            </c:spPr>
          </c:errBars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Summary!$AO$5:$AO$13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A-4C8C-BF7D-D947DD9F15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FY&quot;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Summary!$AM$4</c:f>
              <c:strCache>
                <c:ptCount val="1"/>
                <c:pt idx="0">
                  <c:v>Revenue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657520528"/>
        <c:scaling>
          <c:orientation val="minMax"/>
        </c:scaling>
        <c:delete val="0"/>
        <c:axPos val="r"/>
        <c:title>
          <c:tx>
            <c:strRef>
              <c:f>Summary!$AN$4</c:f>
              <c:strCache>
                <c:ptCount val="1"/>
                <c:pt idx="0">
                  <c:v>Revenue CAGR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 val="autoZero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Summary!$AR$4</c:f>
              <c:strCache>
                <c:ptCount val="1"/>
                <c:pt idx="0">
                  <c:v>EBITDA 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Summary!$AR$5:$AR$13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0.72651475949176492</c:v>
                </c:pt>
                <c:pt idx="5">
                  <c:v>0.38306659292089762</c:v>
                </c:pt>
                <c:pt idx="6">
                  <c:v>0.34077679467041366</c:v>
                </c:pt>
                <c:pt idx="7">
                  <c:v>0.3181270257715465</c:v>
                </c:pt>
                <c:pt idx="8">
                  <c:v>0.29006252102703312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37886127"/>
        <c:axId val="1937895247"/>
      </c:barChart>
      <c:lineChart>
        <c:grouping val="standard"/>
        <c:varyColors val="0"/>
        <c:ser>
          <c:idx val="0"/>
          <c:order val="0"/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Summary!$AL$5:$AL$13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Summary!$AQ$5:$AQ$13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422.9961160754824</c:v>
                </c:pt>
                <c:pt idx="5">
                  <c:v>585.03179707928996</c:v>
                </c:pt>
                <c:pt idx="6">
                  <c:v>784.39705766824227</c:v>
                </c:pt>
                <c:pt idx="7">
                  <c:v>1033.9349606481924</c:v>
                </c:pt>
                <c:pt idx="8">
                  <c:v>1333.8407419117934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 val="autoZero"/>
        <c:auto val="1"/>
        <c:lblOffset val="100"/>
        <c:baseTimeUnit val="years"/>
      </c:dateAx>
      <c:valAx>
        <c:axId val="1657523888"/>
        <c:scaling>
          <c:orientation val="minMax"/>
          <c:max val="1500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Summary!$AQ$4</c:f>
              <c:strCache>
                <c:ptCount val="1"/>
                <c:pt idx="0">
                  <c:v>EBITDA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937895247"/>
        <c:scaling>
          <c:orientation val="minMax"/>
          <c:max val="0.60000000000000009"/>
          <c:min val="-0.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7886127"/>
        <c:crosses val="max"/>
        <c:crossBetween val="between"/>
      </c:valAx>
      <c:dateAx>
        <c:axId val="1937886127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937895247"/>
        <c:crossesAt val="0"/>
        <c:auto val="1"/>
        <c:lblOffset val="100"/>
        <c:baseTimeUnit val="year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Summary!$AN$18:$AN$26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0.15199426130432986</c:v>
                </c:pt>
                <c:pt idx="5">
                  <c:v>0.3104934322540443</c:v>
                </c:pt>
                <c:pt idx="6">
                  <c:v>0.34745166157003188</c:v>
                </c:pt>
                <c:pt idx="7">
                  <c:v>0.36767195145049192</c:v>
                </c:pt>
                <c:pt idx="8">
                  <c:v>0.39475836133245357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57520048"/>
        <c:axId val="1657520528"/>
      </c:barChart>
      <c:lineChart>
        <c:grouping val="standard"/>
        <c:varyColors val="0"/>
        <c:ser>
          <c:idx val="0"/>
          <c:order val="0"/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Summary!$AL$18:$AL$26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Summary!$AM$18:$AM$26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491.87102291655742</c:v>
                </c:pt>
                <c:pt idx="5">
                  <c:v>1106.733256520195</c:v>
                </c:pt>
                <c:pt idx="6">
                  <c:v>1365.166150064874</c:v>
                </c:pt>
                <c:pt idx="7">
                  <c:v>1624.2082221866528</c:v>
                </c:pt>
                <c:pt idx="8">
                  <c:v>1960.6138417112243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B-4EEB-AA95-D3AEF3AE4F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526288"/>
        <c:axId val="1657523888"/>
      </c:lineChart>
      <c:dateAx>
        <c:axId val="1657526288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3888"/>
        <c:crossesAt val="0"/>
        <c:auto val="1"/>
        <c:lblOffset val="100"/>
        <c:baseTimeUnit val="years"/>
      </c:dateAx>
      <c:valAx>
        <c:axId val="165752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Summary!$AM$17</c:f>
              <c:strCache>
                <c:ptCount val="1"/>
                <c:pt idx="0">
                  <c:v>FCF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6288"/>
        <c:crosses val="autoZero"/>
        <c:crossBetween val="between"/>
      </c:valAx>
      <c:valAx>
        <c:axId val="1657520528"/>
        <c:scaling>
          <c:orientation val="minMax"/>
          <c:max val="0.45"/>
        </c:scaling>
        <c:delete val="0"/>
        <c:axPos val="r"/>
        <c:title>
          <c:tx>
            <c:strRef>
              <c:f>Summary!$AN$17</c:f>
              <c:strCache>
                <c:ptCount val="1"/>
                <c:pt idx="0">
                  <c:v>FCF Margin before Buybacks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520048"/>
        <c:crosses val="max"/>
        <c:crossBetween val="between"/>
      </c:valAx>
      <c:dateAx>
        <c:axId val="1657520048"/>
        <c:scaling>
          <c:orientation val="minMax"/>
        </c:scaling>
        <c:delete val="1"/>
        <c:axPos val="b"/>
        <c:numFmt formatCode="&quot;FY&quot;\-yy" sourceLinked="1"/>
        <c:majorTickMark val="out"/>
        <c:minorTickMark val="none"/>
        <c:tickLblPos val="nextTo"/>
        <c:crossAx val="1657520528"/>
        <c:crossesAt val="0"/>
        <c:auto val="1"/>
        <c:lblOffset val="100"/>
        <c:baseTimeUnit val="year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Summary!$AQ$17</c:f>
              <c:strCache>
                <c:ptCount val="1"/>
                <c:pt idx="0">
                  <c:v>OpEx as % Revenue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Summary!$AP$18:$AP$26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Summary!$AQ$18:$AQ$26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-0.67874818812986604</c:v>
                </c:pt>
                <c:pt idx="5">
                  <c:v>-0.63914069269295404</c:v>
                </c:pt>
                <c:pt idx="6">
                  <c:v>-0.60193987837790308</c:v>
                </c:pt>
                <c:pt idx="7">
                  <c:v>-0.56482262011428952</c:v>
                </c:pt>
                <c:pt idx="8">
                  <c:v>-0.53035480221008802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B2-4D7C-9106-8141E0EF51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10662799"/>
        <c:axId val="1310673359"/>
      </c:barChart>
      <c:dateAx>
        <c:axId val="1310662799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73359"/>
        <c:crosses val="autoZero"/>
        <c:auto val="1"/>
        <c:lblOffset val="100"/>
        <c:baseTimeUnit val="years"/>
      </c:dateAx>
      <c:valAx>
        <c:axId val="1310673359"/>
        <c:scaling>
          <c:orientation val="minMax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6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Summary!$AN$30</c:f>
              <c:strCache>
                <c:ptCount val="1"/>
                <c:pt idx="0">
                  <c:v>EPS Negative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Summary!$AN$31:$AN$39</c:f>
              <c:numCache>
                <c:formatCode>General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43-4FCE-9643-0C67B75252F0}"/>
            </c:ext>
          </c:extLst>
        </c:ser>
        <c:ser>
          <c:idx val="2"/>
          <c:order val="1"/>
          <c:tx>
            <c:strRef>
              <c:f>Summary!$AO$30</c:f>
              <c:strCache>
                <c:ptCount val="1"/>
                <c:pt idx="0">
                  <c:v>EPS Positive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Summary!$AL$31:$AL$39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Summary!$AO$31:$AO$39</c:f>
              <c:numCache>
                <c:formatCode>General</c:formatCode>
                <c:ptCount val="9"/>
                <c:pt idx="0">
                  <c:v>#N/A</c:v>
                </c:pt>
                <c:pt idx="1">
                  <c:v>#N/A</c:v>
                </c:pt>
                <c:pt idx="2">
                  <c:v>0.16</c:v>
                </c:pt>
                <c:pt idx="3">
                  <c:v>1.33</c:v>
                </c:pt>
                <c:pt idx="4">
                  <c:v>2.591165579832726</c:v>
                </c:pt>
                <c:pt idx="5">
                  <c:v>3.409077427451376</c:v>
                </c:pt>
                <c:pt idx="6">
                  <c:v>4.3666196858515693</c:v>
                </c:pt>
                <c:pt idx="7">
                  <c:v>5.5711059467725583</c:v>
                </c:pt>
                <c:pt idx="8">
                  <c:v>6.8975333808552923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43-4FCE-9643-0C67B7525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954031"/>
        <c:axId val="1938964591"/>
      </c:barChart>
      <c:dateAx>
        <c:axId val="1938954031"/>
        <c:scaling>
          <c:orientation val="minMax"/>
        </c:scaling>
        <c:delete val="0"/>
        <c:axPos val="b"/>
        <c:numFmt formatCode="&quot;FY&quot;\-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64591"/>
        <c:crosses val="autoZero"/>
        <c:auto val="1"/>
        <c:lblOffset val="100"/>
        <c:baseTimeUnit val="years"/>
      </c:dateAx>
      <c:valAx>
        <c:axId val="1938964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9540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Outputs'!$D$11</c:f>
          <c:strCache>
            <c:ptCount val="1"/>
            <c:pt idx="0">
              <c:v>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Outputs'!$E$12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Outputs'!$F$12:$N$12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3172.6624999999999</c:v>
                </c:pt>
                <c:pt idx="5">
                  <c:v>3418.7830875000004</c:v>
                </c:pt>
                <c:pt idx="6">
                  <c:v>3686.9229375000009</c:v>
                </c:pt>
                <c:pt idx="7">
                  <c:v>4055.6152312500012</c:v>
                </c:pt>
                <c:pt idx="8">
                  <c:v>4461.1767543750011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7-4A43-977D-02FD9C8BD9FC}"/>
            </c:ext>
          </c:extLst>
        </c:ser>
        <c:ser>
          <c:idx val="1"/>
          <c:order val="1"/>
          <c:tx>
            <c:strRef>
              <c:f>'Scenario Outputs'!$E$13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Outputs'!$F$13:$N$13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3204.0749999999998</c:v>
                </c:pt>
                <c:pt idx="5">
                  <c:v>3374.1635062499995</c:v>
                </c:pt>
                <c:pt idx="6">
                  <c:v>3556.1036953124999</c:v>
                </c:pt>
                <c:pt idx="7">
                  <c:v>3822.8114724609372</c:v>
                </c:pt>
                <c:pt idx="8">
                  <c:v>4109.5223328955071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7-4A43-977D-02FD9C8BD9FC}"/>
            </c:ext>
          </c:extLst>
        </c:ser>
        <c:ser>
          <c:idx val="2"/>
          <c:order val="2"/>
          <c:tx>
            <c:strRef>
              <c:f>'Scenario Outputs'!$E$14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Outputs'!$F$14:$N$14</c:f>
              <c:numCache>
                <c:formatCode>#,##0</c:formatCode>
                <c:ptCount val="9"/>
                <c:pt idx="0">
                  <c:v>1858</c:v>
                </c:pt>
                <c:pt idx="1">
                  <c:v>2263</c:v>
                </c:pt>
                <c:pt idx="2">
                  <c:v>2610</c:v>
                </c:pt>
                <c:pt idx="3">
                  <c:v>2919</c:v>
                </c:pt>
                <c:pt idx="4">
                  <c:v>3236.1157499999999</c:v>
                </c:pt>
                <c:pt idx="5">
                  <c:v>3564.4337095500009</c:v>
                </c:pt>
                <c:pt idx="6">
                  <c:v>3929.08223232</c:v>
                </c:pt>
                <c:pt idx="7">
                  <c:v>4417.5472612991998</c:v>
                </c:pt>
                <c:pt idx="8">
                  <c:v>4966.6176419758076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27-4A43-977D-02FD9C8BD9FC}"/>
            </c:ext>
          </c:extLst>
        </c:ser>
        <c:ser>
          <c:idx val="3"/>
          <c:order val="3"/>
          <c:tx>
            <c:strRef>
              <c:f>'Scenario Outputs'!$E$15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fixedVal"/>
            <c:noEndCap val="1"/>
            <c:val val="500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Outputs'!$F$15:$N$15</c:f>
              <c:numCache>
                <c:formatCode>General</c:formatCode>
                <c:ptCount val="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5B-4CF6-B7FD-095C3CE05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5000"/>
          <c:min val="1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Outputs'!$D$16</c:f>
          <c:strCache>
            <c:ptCount val="1"/>
            <c:pt idx="0">
              <c:v>Revenue CAGR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Outputs'!$E$17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Outputs'!$F$17:$N$17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8.6900479616306869E-2</c:v>
                </c:pt>
                <c:pt idx="5">
                  <c:v>7.7575407879029168E-2</c:v>
                </c:pt>
                <c:pt idx="6">
                  <c:v>7.8431372549019773E-2</c:v>
                </c:pt>
                <c:pt idx="7">
                  <c:v>0.10000000000000009</c:v>
                </c:pt>
                <c:pt idx="8">
                  <c:v>9.9999999999999867E-2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F-4B9E-89A1-CB78CE4C83F8}"/>
            </c:ext>
          </c:extLst>
        </c:ser>
        <c:ser>
          <c:idx val="1"/>
          <c:order val="1"/>
          <c:tx>
            <c:strRef>
              <c:f>'Scenario Outputs'!$E$18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Outputs'!$F$18:$N$18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9.7661870503596981E-2</c:v>
                </c:pt>
                <c:pt idx="5">
                  <c:v>5.3085057699960192E-2</c:v>
                </c:pt>
                <c:pt idx="6">
                  <c:v>5.3921568627451011E-2</c:v>
                </c:pt>
                <c:pt idx="7">
                  <c:v>7.4999999999999956E-2</c:v>
                </c:pt>
                <c:pt idx="8">
                  <c:v>7.4999999999999956E-2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7F-4B9E-89A1-CB78CE4C83F8}"/>
            </c:ext>
          </c:extLst>
        </c:ser>
        <c:ser>
          <c:idx val="2"/>
          <c:order val="2"/>
          <c:tx>
            <c:strRef>
              <c:f>'Scenario Outputs'!$E$19</c:f>
              <c:strCache>
                <c:ptCount val="1"/>
                <c:pt idx="0">
                  <c:v>Historical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Outputs'!$F$19:$N$19</c:f>
              <c:numCache>
                <c:formatCode>0%</c:formatCode>
                <c:ptCount val="9"/>
                <c:pt idx="1">
                  <c:v>0.21797631862217437</c:v>
                </c:pt>
                <c:pt idx="2">
                  <c:v>0.15333627927529836</c:v>
                </c:pt>
                <c:pt idx="3">
                  <c:v>0.11839080459770113</c:v>
                </c:pt>
                <c:pt idx="4">
                  <c:v>0.10863848920863317</c:v>
                </c:pt>
                <c:pt idx="5">
                  <c:v>0.10145433133842663</c:v>
                </c:pt>
                <c:pt idx="6">
                  <c:v>0.10230195102044259</c:v>
                </c:pt>
                <c:pt idx="7">
                  <c:v>0.12432038834951453</c:v>
                </c:pt>
                <c:pt idx="8">
                  <c:v>0.12429304050391221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7F-4B9E-89A1-CB78CE4C83F8}"/>
            </c:ext>
          </c:extLst>
        </c:ser>
        <c:ser>
          <c:idx val="3"/>
          <c:order val="3"/>
          <c:tx>
            <c:strRef>
              <c:f>'Scenario Outputs'!$E$20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Outputs'!$F$20:$N$20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ACF7-47D6-82B8-7751BC7D1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1299567"/>
        <c:axId val="641300047"/>
      </c:bar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Outputs'!$D$21</c:f>
          <c:strCache>
            <c:ptCount val="1"/>
            <c:pt idx="0">
              <c:v>OpEx as %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Outputs'!$F$22:$N$22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-0.68175084844765499</c:v>
                </c:pt>
                <c:pt idx="5">
                  <c:v>-0.64490959906677559</c:v>
                </c:pt>
                <c:pt idx="6">
                  <c:v>-0.61000478338430775</c:v>
                </c:pt>
                <c:pt idx="7">
                  <c:v>-0.57466225798420789</c:v>
                </c:pt>
                <c:pt idx="8">
                  <c:v>-0.54152716461489259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5A-41BE-B5D8-A1F58307B223}"/>
            </c:ext>
          </c:extLst>
        </c:ser>
        <c:ser>
          <c:idx val="1"/>
          <c:order val="1"/>
          <c:tx>
            <c:strRef>
              <c:f>'Scenario Outputs'!$E$23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Outputs'!$F$23:$N$23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-0.701200879378717</c:v>
                </c:pt>
                <c:pt idx="5">
                  <c:v>-0.68385898313630511</c:v>
                </c:pt>
                <c:pt idx="6">
                  <c:v>-0.66689282256218341</c:v>
                </c:pt>
                <c:pt idx="7">
                  <c:v>-0.64902267476586273</c:v>
                </c:pt>
                <c:pt idx="8">
                  <c:v>-0.63164055108353889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5A-41BE-B5D8-A1F58307B223}"/>
            </c:ext>
          </c:extLst>
        </c:ser>
        <c:ser>
          <c:idx val="2"/>
          <c:order val="2"/>
          <c:tx>
            <c:strRef>
              <c:f>'Scenario Outputs'!$E$24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Outputs'!$F$24:$N$24</c:f>
              <c:numCache>
                <c:formatCode>0%</c:formatCode>
                <c:ptCount val="9"/>
                <c:pt idx="0">
                  <c:v>-1.1431646932185144</c:v>
                </c:pt>
                <c:pt idx="1">
                  <c:v>-0.97127706584180296</c:v>
                </c:pt>
                <c:pt idx="2">
                  <c:v>-0.79157088122605368</c:v>
                </c:pt>
                <c:pt idx="3">
                  <c:v>-0.72250770811921894</c:v>
                </c:pt>
                <c:pt idx="4">
                  <c:v>-0.67874818812986604</c:v>
                </c:pt>
                <c:pt idx="5">
                  <c:v>-0.63914069269295404</c:v>
                </c:pt>
                <c:pt idx="6">
                  <c:v>-0.60193987837790308</c:v>
                </c:pt>
                <c:pt idx="7">
                  <c:v>-0.56482262011428952</c:v>
                </c:pt>
                <c:pt idx="8">
                  <c:v>-0.53035480221008802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5A-41BE-B5D8-A1F58307B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  <c:max val="-0.4"/>
          <c:min val="-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Outputs'!$D$26</c:f>
          <c:strCache>
            <c:ptCount val="1"/>
            <c:pt idx="0">
              <c:v>EBITDA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Outputs'!$E$27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Outputs'!$F$27:$N$27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406.46976444037819</c:v>
                </c:pt>
                <c:pt idx="5">
                  <c:v>538.87604505489935</c:v>
                </c:pt>
                <c:pt idx="6">
                  <c:v>699.66328797169842</c:v>
                </c:pt>
                <c:pt idx="7">
                  <c:v>896.83234086821517</c:v>
                </c:pt>
                <c:pt idx="8">
                  <c:v>1129.4592771970001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93-43D2-8A30-9E4C2D6DAC17}"/>
            </c:ext>
          </c:extLst>
        </c:ser>
        <c:ser>
          <c:idx val="1"/>
          <c:order val="1"/>
          <c:tx>
            <c:strRef>
              <c:f>'Scenario Outputs'!$E$28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Outputs'!$F$28:$N$28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313.17002371151011</c:v>
                </c:pt>
                <c:pt idx="5">
                  <c:v>365.87358748666071</c:v>
                </c:pt>
                <c:pt idx="6">
                  <c:v>437.03820659249368</c:v>
                </c:pt>
                <c:pt idx="7">
                  <c:v>523.17232506699486</c:v>
                </c:pt>
                <c:pt idx="8">
                  <c:v>629.82835031560614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3-43D2-8A30-9E4C2D6DAC17}"/>
            </c:ext>
          </c:extLst>
        </c:ser>
        <c:ser>
          <c:idx val="2"/>
          <c:order val="2"/>
          <c:tx>
            <c:strRef>
              <c:f>'Scenario Outputs'!$E$29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Outputs'!$F$29:$N$29</c:f>
              <c:numCache>
                <c:formatCode>#,##0</c:formatCode>
                <c:ptCount val="9"/>
                <c:pt idx="0">
                  <c:v>-698</c:v>
                </c:pt>
                <c:pt idx="1">
                  <c:v>-432</c:v>
                </c:pt>
                <c:pt idx="2">
                  <c:v>14</c:v>
                </c:pt>
                <c:pt idx="3">
                  <c:v>245</c:v>
                </c:pt>
                <c:pt idx="4">
                  <c:v>422.9961160754824</c:v>
                </c:pt>
                <c:pt idx="5">
                  <c:v>585.03179707928996</c:v>
                </c:pt>
                <c:pt idx="6">
                  <c:v>784.39705766824227</c:v>
                </c:pt>
                <c:pt idx="7">
                  <c:v>1033.9349606481924</c:v>
                </c:pt>
                <c:pt idx="8">
                  <c:v>1333.8407419117934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3-43D2-8A30-9E4C2D6DA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500"/>
          <c:min val="-7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2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Outputs'!$D$31</c:f>
          <c:strCache>
            <c:ptCount val="1"/>
            <c:pt idx="0">
              <c:v>EBITDA Margin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Outputs'!$F$32:$N$32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0.65906026302195175</c:v>
                </c:pt>
                <c:pt idx="5">
                  <c:v>0.32574693666776477</c:v>
                </c:pt>
                <c:pt idx="6">
                  <c:v>0.29837519108948052</c:v>
                </c:pt>
                <c:pt idx="7">
                  <c:v>0.28180562891630845</c:v>
                </c:pt>
                <c:pt idx="8">
                  <c:v>0.25938731881990451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89-4B16-AA4D-180D15FDF7A7}"/>
            </c:ext>
          </c:extLst>
        </c:ser>
        <c:ser>
          <c:idx val="1"/>
          <c:order val="1"/>
          <c:tx>
            <c:strRef>
              <c:f>'Scenario Outputs'!$E$33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Outputs'!$F$33:$N$33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0.27824499474085762</c:v>
                </c:pt>
                <c:pt idx="5">
                  <c:v>0.16829057631550559</c:v>
                </c:pt>
                <c:pt idx="6">
                  <c:v>0.19450603033329794</c:v>
                </c:pt>
                <c:pt idx="7">
                  <c:v>0.19708601484999</c:v>
                </c:pt>
                <c:pt idx="8">
                  <c:v>0.20386404276058268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89-4B16-AA4D-180D15FDF7A7}"/>
            </c:ext>
          </c:extLst>
        </c:ser>
        <c:ser>
          <c:idx val="2"/>
          <c:order val="2"/>
          <c:tx>
            <c:strRef>
              <c:f>'Scenario Outputs'!$E$34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Outputs'!$F$34:$N$34</c:f>
              <c:numCache>
                <c:formatCode>0%</c:formatCode>
                <c:ptCount val="9"/>
                <c:pt idx="1">
                  <c:v>-0.38108882521489973</c:v>
                </c:pt>
                <c:pt idx="2">
                  <c:v>-1.0324074074074074</c:v>
                </c:pt>
                <c:pt idx="3">
                  <c:v>16.5</c:v>
                </c:pt>
                <c:pt idx="4">
                  <c:v>0.72651475949176492</c:v>
                </c:pt>
                <c:pt idx="5">
                  <c:v>0.38306659292089762</c:v>
                </c:pt>
                <c:pt idx="6">
                  <c:v>0.34077679467041366</c:v>
                </c:pt>
                <c:pt idx="7">
                  <c:v>0.3181270257715465</c:v>
                </c:pt>
                <c:pt idx="8">
                  <c:v>0.29006252102703312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89-4B16-AA4D-180D15FDF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 val="autoZero"/>
        <c:auto val="1"/>
        <c:lblOffset val="100"/>
        <c:baseTimeUnit val="years"/>
      </c:dateAx>
      <c:valAx>
        <c:axId val="641300047"/>
        <c:scaling>
          <c:orientation val="minMax"/>
          <c:max val="1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Outputs'!$D$36</c:f>
          <c:strCache>
            <c:ptCount val="1"/>
            <c:pt idx="0">
              <c:v>EPS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Outputs'!$E$37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Outputs'!$F$37:$N$37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2.4644125230992344</c:v>
                </c:pt>
                <c:pt idx="5">
                  <c:v>3.1184164979527811</c:v>
                </c:pt>
                <c:pt idx="6">
                  <c:v>3.8896629884120872</c:v>
                </c:pt>
                <c:pt idx="7">
                  <c:v>4.8388331657361219</c:v>
                </c:pt>
                <c:pt idx="8">
                  <c:v>5.853670817809852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A4-40DB-BBE2-6EE98D7C0F62}"/>
            </c:ext>
          </c:extLst>
        </c:ser>
        <c:ser>
          <c:idx val="1"/>
          <c:order val="1"/>
          <c:tx>
            <c:strRef>
              <c:f>'Scenario Outputs'!$E$38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Outputs'!$F$38:$N$38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1.917730057442778</c:v>
                </c:pt>
                <c:pt idx="5">
                  <c:v>2.1109066680587416</c:v>
                </c:pt>
                <c:pt idx="6">
                  <c:v>2.4200767537388232</c:v>
                </c:pt>
                <c:pt idx="7">
                  <c:v>2.8264313683796507</c:v>
                </c:pt>
                <c:pt idx="8">
                  <c:v>3.2697889326196621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A4-40DB-BBE2-6EE98D7C0F62}"/>
            </c:ext>
          </c:extLst>
        </c:ser>
        <c:ser>
          <c:idx val="2"/>
          <c:order val="2"/>
          <c:tx>
            <c:strRef>
              <c:f>'Scenario Outputs'!$E$39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Outputs'!$F$39:$N$39</c:f>
              <c:numCache>
                <c:formatCode>_(* #,##0.00_);_(* \(#,##0.00\);_(* "-"??_);_(@_)</c:formatCode>
                <c:ptCount val="9"/>
                <c:pt idx="0">
                  <c:v>-5.16</c:v>
                </c:pt>
                <c:pt idx="1">
                  <c:v>-2.17</c:v>
                </c:pt>
                <c:pt idx="2">
                  <c:v>0.16</c:v>
                </c:pt>
                <c:pt idx="3">
                  <c:v>1.33</c:v>
                </c:pt>
                <c:pt idx="4">
                  <c:v>2.591165579832726</c:v>
                </c:pt>
                <c:pt idx="5">
                  <c:v>3.409077427451376</c:v>
                </c:pt>
                <c:pt idx="6">
                  <c:v>4.3666196858515693</c:v>
                </c:pt>
                <c:pt idx="7">
                  <c:v>5.5711059467725583</c:v>
                </c:pt>
                <c:pt idx="8">
                  <c:v>6.8975333808552923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A4-40DB-BBE2-6EE98D7C0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Outputs'!$D$41</c:f>
          <c:strCache>
            <c:ptCount val="1"/>
            <c:pt idx="0">
              <c:v>FCF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Outputs'!$E$42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Outputs'!$F$42:$N$42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447.32309898523124</c:v>
                </c:pt>
                <c:pt idx="5">
                  <c:v>1024.5393993951534</c:v>
                </c:pt>
                <c:pt idx="6">
                  <c:v>1234.682279939519</c:v>
                </c:pt>
                <c:pt idx="7">
                  <c:v>1428.616523288603</c:v>
                </c:pt>
                <c:pt idx="8">
                  <c:v>1683.5364652388801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49E-ADB4-F1A64CB6B960}"/>
            </c:ext>
          </c:extLst>
        </c:ser>
        <c:ser>
          <c:idx val="1"/>
          <c:order val="1"/>
          <c:tx>
            <c:strRef>
              <c:f>'Scenario Outputs'!$E$43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Outputs'!$F$43:$N$43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339.32582166041766</c:v>
                </c:pt>
                <c:pt idx="5">
                  <c:v>845.58197670929576</c:v>
                </c:pt>
                <c:pt idx="6">
                  <c:v>962.36986570239708</c:v>
                </c:pt>
                <c:pt idx="7">
                  <c:v>1043.5386476698163</c:v>
                </c:pt>
                <c:pt idx="8">
                  <c:v>1171.441819489824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49E-ADB4-F1A64CB6B960}"/>
            </c:ext>
          </c:extLst>
        </c:ser>
        <c:ser>
          <c:idx val="2"/>
          <c:order val="2"/>
          <c:tx>
            <c:strRef>
              <c:f>'Scenario Outputs'!$E$44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Outputs'!$F$44:$N$44</c:f>
              <c:numCache>
                <c:formatCode>#,##0</c:formatCode>
                <c:ptCount val="9"/>
                <c:pt idx="0">
                  <c:v>-2</c:v>
                </c:pt>
                <c:pt idx="1">
                  <c:v>71</c:v>
                </c:pt>
                <c:pt idx="2">
                  <c:v>73</c:v>
                </c:pt>
                <c:pt idx="3">
                  <c:v>522</c:v>
                </c:pt>
                <c:pt idx="4">
                  <c:v>491.87102291655742</c:v>
                </c:pt>
                <c:pt idx="5">
                  <c:v>1106.733256520195</c:v>
                </c:pt>
                <c:pt idx="6">
                  <c:v>1365.166150064874</c:v>
                </c:pt>
                <c:pt idx="7">
                  <c:v>1624.2082221866528</c:v>
                </c:pt>
                <c:pt idx="8">
                  <c:v>1960.6138417112243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49E-ADB4-F1A64CB6B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'Scenario Outputs'!$D$46</c:f>
          <c:strCache>
            <c:ptCount val="1"/>
            <c:pt idx="0">
              <c:v>FCF Margin before Buybacks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'Scenario Outputs'!$E$47</c:f>
              <c:strCache>
                <c:ptCount val="1"/>
                <c:pt idx="0">
                  <c:v>Base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Outputs'!$F$47:$N$47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0.14032475845925349</c:v>
                </c:pt>
                <c:pt idx="5">
                  <c:v>0.30459787847998238</c:v>
                </c:pt>
                <c:pt idx="6">
                  <c:v>0.34030607669556662</c:v>
                </c:pt>
                <c:pt idx="7">
                  <c:v>0.35718785947110615</c:v>
                </c:pt>
                <c:pt idx="8">
                  <c:v>0.38185809687281508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F-4A90-AD58-3840693697A0}"/>
            </c:ext>
          </c:extLst>
        </c:ser>
        <c:ser>
          <c:idx val="1"/>
          <c:order val="1"/>
          <c:tx>
            <c:strRef>
              <c:f>'Scenario Outputs'!$E$48</c:f>
              <c:strCache>
                <c:ptCount val="1"/>
                <c:pt idx="0">
                  <c:v>Pessimistic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Outputs'!$F$48:$N$48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0.10524279914184829</c:v>
                </c:pt>
                <c:pt idx="5">
                  <c:v>0.25686856675364139</c:v>
                </c:pt>
                <c:pt idx="6">
                  <c:v>0.2779306281395586</c:v>
                </c:pt>
                <c:pt idx="7">
                  <c:v>0.28032419537997039</c:v>
                </c:pt>
                <c:pt idx="8">
                  <c:v>0.29210711835318054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F-4A90-AD58-3840693697A0}"/>
            </c:ext>
          </c:extLst>
        </c:ser>
        <c:ser>
          <c:idx val="2"/>
          <c:order val="2"/>
          <c:tx>
            <c:strRef>
              <c:f>'Scenario Outputs'!$E$49</c:f>
              <c:strCache>
                <c:ptCount val="1"/>
                <c:pt idx="0">
                  <c:v>Optimistic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'Scenario Outputs'!$F$9:$N$9</c:f>
              <c:numCache>
                <c:formatCode>"FY"\-yy</c:formatCode>
                <c:ptCount val="9"/>
                <c:pt idx="0">
                  <c:v>44957</c:v>
                </c:pt>
                <c:pt idx="1">
                  <c:v>45322</c:v>
                </c:pt>
                <c:pt idx="2">
                  <c:v>45688</c:v>
                </c:pt>
                <c:pt idx="3">
                  <c:v>46053</c:v>
                </c:pt>
                <c:pt idx="4">
                  <c:v>46418</c:v>
                </c:pt>
                <c:pt idx="5">
                  <c:v>46783</c:v>
                </c:pt>
                <c:pt idx="6">
                  <c:v>47149</c:v>
                </c:pt>
                <c:pt idx="7">
                  <c:v>47514</c:v>
                </c:pt>
                <c:pt idx="8">
                  <c:v>47879</c:v>
                </c:pt>
              </c:numCache>
            </c:numRef>
          </c:cat>
          <c:val>
            <c:numRef>
              <c:f>'Scenario Outputs'!$F$49:$N$49</c:f>
              <c:numCache>
                <c:formatCode>0%</c:formatCode>
                <c:ptCount val="9"/>
                <c:pt idx="0">
                  <c:v>-1.076426264800861E-3</c:v>
                </c:pt>
                <c:pt idx="1">
                  <c:v>3.1374281926646048E-2</c:v>
                </c:pt>
                <c:pt idx="2">
                  <c:v>2.7969348659003832E-2</c:v>
                </c:pt>
                <c:pt idx="3">
                  <c:v>0.17882836587872558</c:v>
                </c:pt>
                <c:pt idx="4">
                  <c:v>0.14481713854535558</c:v>
                </c:pt>
                <c:pt idx="5">
                  <c:v>0.30903019758972111</c:v>
                </c:pt>
                <c:pt idx="6">
                  <c:v>0.34745166157003188</c:v>
                </c:pt>
                <c:pt idx="7">
                  <c:v>0.36767195145049192</c:v>
                </c:pt>
                <c:pt idx="8">
                  <c:v>0.39475836133245357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F-4A90-AD58-384069369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1299567"/>
        <c:axId val="641300047"/>
      </c:lineChart>
      <c:dateAx>
        <c:axId val="641299567"/>
        <c:scaling>
          <c:orientation val="minMax"/>
        </c:scaling>
        <c:delete val="0"/>
        <c:axPos val="b"/>
        <c:numFmt formatCode="&quot;FY&quot;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300047"/>
        <c:crossesAt val="-1.2"/>
        <c:auto val="1"/>
        <c:lblOffset val="100"/>
        <c:baseTimeUnit val="years"/>
      </c:dateAx>
      <c:valAx>
        <c:axId val="64130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2995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</xdr:row>
      <xdr:rowOff>0</xdr:rowOff>
    </xdr:from>
    <xdr:to>
      <xdr:col>23</xdr:col>
      <xdr:colOff>0</xdr:colOff>
      <xdr:row>27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5B118B1-47E4-90E8-7905-ED33DF1AA9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369093</xdr:colOff>
      <xdr:row>4</xdr:row>
      <xdr:rowOff>83343</xdr:rowOff>
    </xdr:from>
    <xdr:to>
      <xdr:col>14</xdr:col>
      <xdr:colOff>392906</xdr:colOff>
      <xdr:row>24</xdr:row>
      <xdr:rowOff>190499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C9DBE006-A6C9-1477-93DB-9CFF95CDE0F7}"/>
            </a:ext>
          </a:extLst>
        </xdr:cNvPr>
        <xdr:cNvCxnSpPr/>
      </xdr:nvCxnSpPr>
      <xdr:spPr>
        <a:xfrm flipH="1" flipV="1">
          <a:off x="12263437" y="845343"/>
          <a:ext cx="23813" cy="3917156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266700</xdr:colOff>
      <xdr:row>4</xdr:row>
      <xdr:rowOff>114300</xdr:rowOff>
    </xdr:from>
    <xdr:to>
      <xdr:col>30</xdr:col>
      <xdr:colOff>273410</xdr:colOff>
      <xdr:row>28</xdr:row>
      <xdr:rowOff>180974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458F23CC-353B-4321-A622-A612FF98FD1E}"/>
            </a:ext>
          </a:extLst>
        </xdr:cNvPr>
        <xdr:cNvCxnSpPr/>
      </xdr:nvCxnSpPr>
      <xdr:spPr>
        <a:xfrm flipH="1" flipV="1">
          <a:off x="21945600" y="876300"/>
          <a:ext cx="6710" cy="4638674"/>
        </a:xfrm>
        <a:prstGeom prst="line">
          <a:avLst/>
        </a:prstGeom>
        <a:ln>
          <a:solidFill>
            <a:srgbClr val="FFC000"/>
          </a:solidFill>
          <a:prstDash val="sysDash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976312</xdr:colOff>
      <xdr:row>3</xdr:row>
      <xdr:rowOff>11907</xdr:rowOff>
    </xdr:from>
    <xdr:to>
      <xdr:col>12</xdr:col>
      <xdr:colOff>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E8BF1F-7938-7C68-7331-8ED7F2FC4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</xdr:colOff>
      <xdr:row>23</xdr:row>
      <xdr:rowOff>0</xdr:rowOff>
    </xdr:from>
    <xdr:to>
      <xdr:col>12</xdr:col>
      <xdr:colOff>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9D44CD-FEF3-558C-39FC-07E81F3ED3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3</xdr:row>
      <xdr:rowOff>1</xdr:rowOff>
    </xdr:from>
    <xdr:to>
      <xdr:col>24</xdr:col>
      <xdr:colOff>0</xdr:colOff>
      <xdr:row>21</xdr:row>
      <xdr:rowOff>23814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ED07B46-8533-4313-FB7F-ABCD05E11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23</xdr:row>
      <xdr:rowOff>23814</xdr:rowOff>
    </xdr:from>
    <xdr:to>
      <xdr:col>30</xdr:col>
      <xdr:colOff>0</xdr:colOff>
      <xdr:row>41</xdr:row>
      <xdr:rowOff>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AFA981F-81E7-DDD9-F20C-3DA4F96A1A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</xdr:colOff>
      <xdr:row>3</xdr:row>
      <xdr:rowOff>0</xdr:rowOff>
    </xdr:from>
    <xdr:to>
      <xdr:col>30</xdr:col>
      <xdr:colOff>0</xdr:colOff>
      <xdr:row>21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839270-81C6-14AF-C393-524B91FA6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9525</xdr:rowOff>
        </xdr:from>
        <xdr:to>
          <xdr:col>7</xdr:col>
          <xdr:colOff>819150</xdr:colOff>
          <xdr:row>6</xdr:row>
          <xdr:rowOff>9525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Scenario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0</xdr:colOff>
      <xdr:row>8</xdr:row>
      <xdr:rowOff>0</xdr:rowOff>
    </xdr:from>
    <xdr:to>
      <xdr:col>24</xdr:col>
      <xdr:colOff>1</xdr:colOff>
      <xdr:row>24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2790549-20B6-FAB4-8DCA-B728F1F2E4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8</xdr:row>
      <xdr:rowOff>0</xdr:rowOff>
    </xdr:from>
    <xdr:to>
      <xdr:col>33</xdr:col>
      <xdr:colOff>392907</xdr:colOff>
      <xdr:row>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C50D563-4FC1-499E-947C-4241D58942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24</xdr:col>
      <xdr:colOff>1</xdr:colOff>
      <xdr:row>40</xdr:row>
      <xdr:rowOff>159543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B5948C9-1883-4811-AF62-018F1D4DD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25</xdr:row>
      <xdr:rowOff>0</xdr:rowOff>
    </xdr:from>
    <xdr:to>
      <xdr:col>33</xdr:col>
      <xdr:colOff>392907</xdr:colOff>
      <xdr:row>40</xdr:row>
      <xdr:rowOff>159543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7E6BB45-DC64-4BFF-A63F-753E3CFB8B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0</xdr:colOff>
      <xdr:row>42</xdr:row>
      <xdr:rowOff>19051</xdr:rowOff>
    </xdr:from>
    <xdr:to>
      <xdr:col>33</xdr:col>
      <xdr:colOff>392907</xdr:colOff>
      <xdr:row>57</xdr:row>
      <xdr:rowOff>178594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BCE33C-A220-49BA-AD2B-ED8DC0895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42</xdr:row>
      <xdr:rowOff>0</xdr:rowOff>
    </xdr:from>
    <xdr:to>
      <xdr:col>24</xdr:col>
      <xdr:colOff>1</xdr:colOff>
      <xdr:row>57</xdr:row>
      <xdr:rowOff>159543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8E149CF-B49D-4567-B3C2-0B8BF60659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59</xdr:row>
      <xdr:rowOff>0</xdr:rowOff>
    </xdr:from>
    <xdr:to>
      <xdr:col>24</xdr:col>
      <xdr:colOff>1</xdr:colOff>
      <xdr:row>74</xdr:row>
      <xdr:rowOff>159543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D6DD7F0-4DB5-4242-B68A-05F59E139B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0</xdr:colOff>
      <xdr:row>59</xdr:row>
      <xdr:rowOff>0</xdr:rowOff>
    </xdr:from>
    <xdr:to>
      <xdr:col>33</xdr:col>
      <xdr:colOff>392907</xdr:colOff>
      <xdr:row>74</xdr:row>
      <xdr:rowOff>159543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8B677CED-93B4-4C51-ACB4-3D1A88832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muel Bowie" id="{F8B1B2E4-049A-45BD-BB73-CF1D4394F306}" userId="081dee8f25e5325d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5"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351</v>
    <v t="i">359</v>
    <v t="i">365</v>
  </a>
  <a r="1" c="53">
    <v>94.22</v>
    <v>97</v>
    <v>96.29</v>
    <v>92.75</v>
    <v>90.49</v>
    <v>112.44</v>
    <v>112.55</v>
    <v>113.74</v>
    <v>107.99</v>
    <v>91.93</v>
    <v>101.82</v>
    <v>97.93</v>
    <v>103.38</v>
    <v>112.9</v>
    <v>119.45</v>
    <v>127.3</v>
    <v>123.72</v>
    <v>103.17</v>
    <v>105.08</v>
    <v>97.48</v>
    <v>99.42</v>
    <v>98.43</v>
    <v>99.11</v>
    <v>91.56</v>
    <v>95.43</v>
    <v>101.1</v>
    <v>95.13</v>
    <v>91.55</v>
    <v>92.02</v>
    <v>92.05</v>
    <v>92.77</v>
    <v>91.48</v>
    <v>90.34</v>
    <v>93.37</v>
    <v>91.16</v>
    <v>93.3</v>
    <v>89.35</v>
    <v>87.43</v>
    <v>89.07</v>
    <v>91.53</v>
    <v>85.21</v>
    <v>83.94</v>
    <v>78.680000000000007</v>
    <v>80.33</v>
    <v>85.89</v>
    <v>90.18</v>
    <v>90.21</v>
    <v>88.61</v>
    <v>83.64</v>
    <v>92.23</v>
    <v>89.55</v>
    <v>90.76</v>
    <v>84.48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77.47</v>
    <v>76.39</v>
    <v>74.010000000000005</v>
    <v>72.27</v>
    <v>85.55</v>
    <v>81.03</v>
    <v>83.83</v>
    <v>82.25</v>
    <v>86.24</v>
    <v>79.959999999999994</v>
    <v>74.3</v>
    <v>75.959999999999994</v>
    <v>68.53</v>
    <v>73.78</v>
    <v>76.47</v>
    <v>82.15</v>
    <v>88.1</v>
    <v>73.83</v>
    <v>71.400000000000006</v>
    <v>75.75</v>
    <v>69.25</v>
    <v>69.349999999999994</v>
    <v>68.53</v>
    <v>70.69</v>
    <v>70</v>
    <v>73.98</v>
    <v>72.56</v>
    <v>71.400000000000006</v>
    <v>71.724999999999994</v>
    <v>72.23</v>
    <v>86.16</v>
    <v>87.38</v>
    <v>84.31</v>
    <v>80.680000000000007</v>
    <v>81.510000000000005</v>
    <v>80.42</v>
    <v>83.08</v>
    <v>75.569999999999993</v>
    <v>67.08</v>
    <v>69.88</v>
    <v>67.77</v>
    <v>70.22</v>
    <v>73.25</v>
    <v>73.63</v>
    <v>72.010000000000005</v>
    <v>83.17</v>
    <v>89.36</v>
    <v>90.53</v>
    <v>82.46</v>
    <v>83.79</v>
    <v>81.28</v>
    <v>84.77</v>
    <v>82.78</v>
  </a>
  <a r="1" c="53">
    <v t="i">1</v>
    <v t="i">8</v>
    <v t="i">15</v>
    <v t="i">23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142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331</v>
    <v t="i">338</v>
    <v t="i">344</v>
    <v t="i">352</v>
    <v t="i">358</v>
    <v t="i">365</v>
  </a>
  <a r="1" c="53">
    <v>188.86</v>
    <v>191.77</v>
    <v>164.67</v>
    <v>177.37</v>
    <v>158.41</v>
    <v>154.06</v>
    <v>174.5</v>
    <v>138.11000000000001</v>
    <v>148.79</v>
    <v>142.86000000000001</v>
    <v>143.57</v>
    <v>136.33000000000001</v>
    <v>119.31</v>
    <v>102.45</v>
    <v>97.7</v>
    <v>84.22</v>
    <v>86.06</v>
    <v>98.38</v>
    <v>90.12</v>
    <v>82.67</v>
    <v>101.26</v>
    <v>95.98</v>
    <v>103.9</v>
    <v>94.02</v>
    <v>101.95</v>
    <v>98.45</v>
    <v>104.47</v>
    <v>104.15</v>
    <v>96.21</v>
    <v>93.48</v>
    <v>64.63</v>
    <v>64.7</v>
    <v>59.01</v>
    <v>54.18</v>
    <v>56.87</v>
    <v>53.72</v>
    <v>49.12</v>
    <v>55.01</v>
    <v>57.29</v>
    <v>45.02</v>
    <v>54.35</v>
    <v>49.86</v>
    <v>50.09</v>
    <v>65.08</v>
    <v>64.42</v>
    <v>67.92</v>
    <v>67.040000000000006</v>
    <v>68.33</v>
    <v>68.03</v>
    <v>69.760000000000005</v>
    <v>68.7</v>
    <v>71.38</v>
    <v>77.47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113</v>
    <v t="i">121</v>
    <v t="i">127</v>
    <v t="i">134</v>
    <v t="i">141</v>
    <v t="i">148</v>
    <v t="i">156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282.94</v>
    <v>291.77999999999997</v>
    <v>288.36</v>
    <v>261.45</v>
    <v>215.96</v>
    <v>227</v>
    <v>213.53</v>
    <v>212.45</v>
    <v>229.7</v>
    <v>244.26</v>
    <v>269.98</v>
    <v>279.3</v>
    <v>269.7</v>
    <v>237.27</v>
    <v>229.25</v>
    <v>238.31</v>
    <v>222.44</v>
    <v>213.36</v>
    <v>226.38</v>
    <v>239.26</v>
    <v>246.13</v>
    <v>242.56</v>
    <v>251.84</v>
    <v>235.67</v>
    <v>257.91000000000003</v>
    <v>247.79</v>
    <v>240.12</v>
    <v>235.84</v>
    <v>230.97</v>
    <v>262.38</v>
    <v>270.39999999999998</v>
    <v>253.98</v>
    <v>258.14999999999998</v>
    <v>253.43</v>
    <v>238.08</v>
    <v>228.55</v>
    <v>255.02</v>
    <v>260.38</v>
    <v>247.18</v>
    <v>254.89</v>
    <v>261.5</v>
    <v>240.68</v>
    <v>222.69</v>
    <v>214.59</v>
    <v>223.66</v>
    <v>217.91</v>
    <v>228.31</v>
    <v>224.17</v>
    <v>196.67</v>
    <v>204.41</v>
    <v>188.26</v>
    <v>184.24</v>
    <v>188.86</v>
  </a>
  <a r="1" c="53">
    <v>82.78</v>
    <v>87.85</v>
    <v>88.86</v>
    <v>83.24</v>
    <v>108.49</v>
    <v>110.3</v>
    <v>106.1</v>
    <v>106.13</v>
    <v>104.62</v>
    <v>101.5</v>
    <v>98.26</v>
    <v>92.03</v>
    <v>92.29</v>
    <v>96.55</v>
    <v>97.42</v>
    <v>102.96</v>
    <v>97.16</v>
    <v>88.68</v>
    <v>87.42</v>
    <v>89.76</v>
    <v>86.91</v>
    <v>93.61</v>
    <v>96.35</v>
    <v>96.08</v>
    <v>94.03</v>
    <v>93.48</v>
    <v>86.69</v>
    <v>90.36</v>
    <v>96.69</v>
    <v>99.01</v>
    <v>78.73</v>
    <v>72.45</v>
    <v>74.06</v>
    <v>75.75</v>
    <v>73.989999999999995</v>
    <v>72.31</v>
    <v>77.34</v>
    <v>74.819999999999993</v>
    <v>72.239999999999995</v>
    <v>73.23</v>
    <v>76.75</v>
    <v>73.66</v>
    <v>76.569999999999993</v>
    <v>77.56</v>
    <v>84.79</v>
    <v>81.99</v>
    <v>83.28</v>
    <v>81.64</v>
    <v>80.760000000000005</v>
    <v>84.37</v>
    <v>87.29</v>
    <v>88.86</v>
    <v>94.22</v>
  </a>
  <a r="1" c="53">
    <v t="i">1</v>
    <v t="i">8</v>
    <v t="i">16</v>
    <v t="i">22</v>
    <v t="i">29</v>
    <v t="i">36</v>
    <v t="i">43</v>
    <v t="i">50</v>
    <v t="i">57</v>
    <v t="i">64</v>
    <v t="i">71</v>
    <v t="i">78</v>
    <v t="i">85</v>
    <v t="i">92</v>
    <v t="i">99</v>
    <v t="i">106</v>
    <v t="i">114</v>
    <v t="i">120</v>
    <v t="i">127</v>
    <v t="i">134</v>
    <v t="i">141</v>
    <v t="i">148</v>
    <v t="i">155</v>
    <v t="i">162</v>
    <v t="i">169</v>
    <v t="i">176</v>
    <v t="i">183</v>
    <v t="i">190</v>
    <v t="i">197</v>
    <v t="i">204</v>
    <v t="i">211</v>
    <v t="i">219</v>
    <v t="i">225</v>
    <v t="i">232</v>
    <v t="i">239</v>
    <v t="i">246</v>
    <v t="i">253</v>
    <v t="i">260</v>
    <v t="i">267</v>
    <v t="i">274</v>
    <v t="i">281</v>
    <v t="i">288</v>
    <v t="i">295</v>
    <v t="i">302</v>
    <v t="i">309</v>
    <v t="i">316</v>
    <v t="i">323</v>
    <v t="i">330</v>
    <v t="i">337</v>
    <v t="i">344</v>
    <v t="i">352</v>
    <v t="i">358</v>
    <v t="i">365</v>
  </a>
  <a r="1" c="53">
    <v>132.79</v>
    <v>137.03</v>
    <v>133.59</v>
    <v>128.06</v>
    <v>125.97</v>
    <v>107.29</v>
    <v>115.45</v>
    <v>121.05</v>
    <v>118.94</v>
    <v>130.96</v>
    <v>148.09</v>
    <v>155.35</v>
    <v>148.84</v>
    <v>169.38</v>
    <v>181.6</v>
    <v>192.49</v>
    <v>195.58</v>
    <v>180.6</v>
    <v>179.24</v>
    <v>198.19</v>
    <v>203.49</v>
    <v>207.76</v>
    <v>218.73</v>
    <v>207.38</v>
    <v>205.64</v>
    <v>220.98</v>
    <v>208.23</v>
    <v>198.86</v>
    <v>208.39</v>
    <v>207.98</v>
    <v>203.44</v>
    <v>193.66</v>
    <v>197.65</v>
    <v>216.2</v>
    <v>219.06</v>
    <v>236.45</v>
    <v>243.95</v>
    <v>219.51</v>
    <v>209.83</v>
    <v>233.26</v>
    <v>221.8</v>
    <v>232.65</v>
    <v>236.04</v>
    <v>240.98</v>
    <v>252.35</v>
    <v>271.81</v>
    <v>275.60000000000002</v>
    <v>254.26</v>
    <v>253.12</v>
    <v>252.99</v>
    <v>264</v>
    <v>259.01</v>
    <v>282.94</v>
  </a>
  <a r="1">
    <v t="i">1</v>
  </a>
  <a r="1">
    <v>80.72</v>
  </a>
  <a r="1">
    <v>79.16</v>
  </a>
  <a r="1">
    <v>146.99</v>
  </a>
  <a r="1">
    <v>428.99</v>
  </a>
  <a r="1">
    <v>79.03</v>
  </a>
  <a r="1">
    <v t="i">2</v>
  </a>
  <a r="1">
    <v>148.69999999999999</v>
  </a>
  <a r="1">
    <v>92.66</v>
  </a>
  <a r="1">
    <v>42.85</v>
  </a>
  <a r="1" c="252">
    <v t="i">0</v>
    <v t="i">1</v>
    <v t="i">4</v>
    <v t="i">5</v>
    <v t="i">6</v>
    <v t="i">7</v>
    <v t="i">8</v>
    <v t="i">11</v>
    <v t="i">12</v>
    <v t="i">13</v>
    <v t="i">14</v>
    <v t="i">15</v>
    <v t="i">18</v>
    <v t="i">19</v>
    <v t="i">20</v>
    <v t="i">21</v>
    <v t="i">22</v>
    <v t="i">25</v>
    <v t="i">26</v>
    <v t="i">27</v>
    <v t="i">28</v>
    <v t="i">29</v>
    <v t="i">32</v>
    <v t="i">33</v>
    <v t="i">34</v>
    <v t="i">35</v>
    <v t="i">39</v>
    <v t="i">40</v>
    <v t="i">41</v>
    <v t="i">42</v>
    <v t="i">43</v>
    <v t="i">46</v>
    <v t="i">47</v>
    <v t="i">48</v>
    <v t="i">49</v>
    <v t="i">50</v>
    <v t="i">53</v>
    <v t="i">54</v>
    <v t="i">55</v>
    <v t="i">56</v>
    <v t="i">57</v>
    <v t="i">60</v>
    <v t="i">61</v>
    <v t="i">62</v>
    <v t="i">63</v>
    <v t="i">64</v>
    <v t="i">67</v>
    <v t="i">68</v>
    <v t="i">69</v>
    <v t="i">70</v>
    <v t="i">71</v>
    <v t="i">75</v>
    <v t="i">76</v>
    <v t="i">77</v>
    <v t="i">78</v>
    <v t="i">81</v>
    <v t="i">82</v>
    <v t="i">83</v>
    <v t="i">84</v>
    <v t="i">85</v>
    <v t="i">88</v>
    <v t="i">89</v>
    <v t="i">90</v>
    <v t="i">91</v>
    <v t="i">92</v>
    <v t="i">95</v>
    <v t="i">96</v>
    <v t="i">97</v>
    <v t="i">99</v>
    <v t="i">102</v>
    <v t="i">103</v>
    <v t="i">104</v>
    <v t="i">105</v>
    <v t="i">106</v>
    <v t="i">109</v>
    <v t="i">110</v>
    <v t="i">111</v>
    <v t="i">112</v>
    <v t="i">116</v>
    <v t="i">117</v>
    <v t="i">118</v>
    <v t="i">119</v>
    <v t="i">120</v>
    <v t="i">123</v>
    <v t="i">124</v>
    <v t="i">125</v>
    <v t="i">126</v>
    <v t="i">127</v>
    <v t="i">130</v>
    <v t="i">131</v>
    <v t="i">132</v>
    <v t="i">133</v>
    <v t="i">134</v>
    <v t="i">137</v>
    <v t="i">138</v>
    <v t="i">139</v>
    <v t="i">140</v>
    <v t="i">141</v>
    <v t="i">144</v>
    <v t="i">145</v>
    <v t="i">146</v>
    <v t="i">147</v>
    <v t="i">148</v>
    <v t="i">151</v>
    <v t="i">152</v>
    <v t="i">153</v>
    <v t="i">154</v>
    <v t="i">155</v>
    <v t="i">158</v>
    <v t="i">159</v>
    <v t="i">160</v>
    <v t="i">161</v>
    <v t="i">162</v>
    <v t="i">165</v>
    <v t="i">166</v>
    <v t="i">167</v>
    <v t="i">168</v>
    <v t="i">169</v>
    <v t="i">173</v>
    <v t="i">174</v>
    <v t="i">175</v>
    <v t="i">176</v>
    <v t="i">179</v>
    <v t="i">180</v>
    <v t="i">181</v>
    <v t="i">182</v>
    <v t="i">183</v>
    <v t="i">186</v>
    <v t="i">187</v>
    <v t="i">188</v>
    <v t="i">189</v>
    <v t="i">190</v>
    <v t="i">193</v>
    <v t="i">194</v>
    <v t="i">195</v>
    <v t="i">196</v>
    <v t="i">197</v>
    <v t="i">200</v>
    <v t="i">201</v>
    <v t="i">202</v>
    <v t="i">203</v>
    <v t="i">204</v>
    <v t="i">207</v>
    <v t="i">208</v>
    <v t="i">209</v>
    <v t="i">210</v>
    <v t="i">211</v>
    <v t="i">214</v>
    <v t="i">215</v>
    <v t="i">216</v>
    <v t="i">217</v>
    <v t="i">218</v>
    <v t="i">221</v>
    <v t="i">222</v>
    <v t="i">223</v>
    <v t="i">224</v>
    <v t="i">225</v>
    <v t="i">228</v>
    <v t="i">229</v>
    <v t="i">230</v>
    <v t="i">231</v>
    <v t="i">232</v>
    <v t="i">235</v>
    <v t="i">236</v>
    <v t="i">237</v>
    <v t="i">238</v>
    <v t="i">239</v>
    <v t="i">242</v>
    <v t="i">243</v>
    <v t="i">244</v>
    <v t="i">245</v>
    <v t="i">246</v>
    <v t="i">249</v>
    <v t="i">250</v>
    <v t="i">251</v>
    <v t="i">252</v>
    <v t="i">253</v>
    <v t="i">256</v>
    <v t="i">257</v>
    <v t="i">258</v>
    <v t="i">260</v>
    <v t="i">263</v>
    <v t="i">264</v>
    <v t="i">265</v>
    <v t="i">266</v>
    <v t="i">267</v>
    <v t="i">270</v>
    <v t="i">271</v>
    <v t="i">272</v>
    <v t="i">273</v>
    <v t="i">274</v>
    <v t="i">277</v>
    <v t="i">278</v>
    <v t="i">279</v>
    <v t="i">280</v>
    <v t="i">281</v>
    <v t="i">284</v>
    <v t="i">285</v>
    <v t="i">286</v>
    <v t="i">288</v>
    <v t="i">291</v>
    <v t="i">292</v>
    <v t="i">293</v>
    <v t="i">295</v>
    <v t="i">298</v>
    <v t="i">299</v>
    <v t="i">300</v>
    <v t="i">301</v>
    <v t="i">302</v>
    <v t="i">305</v>
    <v t="i">306</v>
    <v t="i">307</v>
    <v t="i">308</v>
    <v t="i">309</v>
    <v t="i">313</v>
    <v t="i">314</v>
    <v t="i">315</v>
    <v t="i">316</v>
    <v t="i">319</v>
    <v t="i">320</v>
    <v t="i">321</v>
    <v t="i">322</v>
    <v t="i">323</v>
    <v t="i">326</v>
    <v t="i">327</v>
    <v t="i">328</v>
    <v t="i">329</v>
    <v t="i">330</v>
    <v t="i">333</v>
    <v t="i">334</v>
    <v t="i">335</v>
    <v t="i">336</v>
    <v t="i">337</v>
    <v t="i">341</v>
    <v t="i">342</v>
    <v t="i">343</v>
    <v t="i">344</v>
    <v t="i">347</v>
    <v t="i">348</v>
    <v t="i">349</v>
    <v t="i">350</v>
    <v t="i">351</v>
    <v t="i">354</v>
    <v t="i">355</v>
    <v t="i">356</v>
    <v t="i">357</v>
    <v t="i">358</v>
    <v t="i">361</v>
    <v t="i">362</v>
    <v t="i">363</v>
    <v t="i">364</v>
    <v t="i">365</v>
  </a>
  <a r="1" c="252">
    <v>105.4601</v>
    <v>108.52</v>
    <v>112.6</v>
    <v>112.17</v>
    <v>112.26</v>
    <v>111.64</v>
    <v>110.65</v>
    <v>114.65</v>
    <v>115.5001</v>
    <v>113.06</v>
    <v>110.83</v>
    <v>107.31</v>
    <v>102.91</v>
    <v>103.44499999999999</v>
    <v>102.63</v>
    <v>97.56</v>
    <v>89.36</v>
    <v>87.93</v>
    <v>90.1</v>
    <v>90.65</v>
    <v>98.05</v>
    <v>98.887900000000002</v>
    <v>100.45</v>
    <v>99.784999999999997</v>
    <v>98.32</v>
    <v>97.25</v>
    <v>91.4</v>
    <v>92.88</v>
    <v>97.87</v>
    <v>98.31</v>
    <v>100.71</v>
    <v>102.3</v>
    <v>109.476</v>
    <v>107.61</v>
    <v>111.3623</v>
    <v>111.11</v>
    <v>113.02</v>
    <v>113.11</v>
    <v>114.85</v>
    <v>117.15</v>
    <v>118.78</v>
    <v>119.03</v>
    <v>122.02</v>
    <v>122.44</v>
    <v>121.68</v>
    <v>125</v>
    <v>124.45</v>
    <v>124.71</v>
    <v>121.01</v>
    <v>122.065</v>
    <v>121.97499999999999</v>
    <v>124.21</v>
    <v>105.22</v>
    <v>103.46</v>
    <v>102.15</v>
    <v>102.15</v>
    <v>103.12</v>
    <v>103.04</v>
    <v>103.6982</v>
    <v>104.04</v>
    <v>101.1</v>
    <v>99.72</v>
    <v>100.26</v>
    <v>99.57</v>
    <v>97.32</v>
    <v>98.110100000000003</v>
    <v>97.95</v>
    <v>97.78</v>
    <v>98.86</v>
    <v>96.748000000000005</v>
    <v>98.35</v>
    <v>97.77</v>
    <v>95.48</v>
    <v>97.736000000000004</v>
    <v>98.45</v>
    <v>96.52</v>
    <v>97.17</v>
    <v>98.42</v>
    <v>96.79</v>
    <v>96.58</v>
    <v>97.18</v>
    <v>94.15</v>
    <v>91.4</v>
    <v>90.72</v>
    <v>91.01</v>
    <v>89.78</v>
    <v>91.344999999999999</v>
    <v>92.3</v>
    <v>93.9</v>
    <v>95.05</v>
    <v>94.08</v>
    <v>94.534999999999997</v>
    <v>96.44</v>
    <v>96.39</v>
    <v>96.57</v>
    <v>97.7</v>
    <v>97.315600000000003</v>
    <v>94.47</v>
    <v>95.35</v>
    <v>95.58</v>
    <v>95.5</v>
    <v>90.861699999999999</v>
    <v>90.93</v>
    <v>88.240099999999998</v>
    <v>87.24</v>
    <v>88.82</v>
    <v>88.37</v>
    <v>89.103800000000007</v>
    <v>90.77</v>
    <v>90.110699999999994</v>
    <v>89.77</v>
    <v>88.33</v>
    <v>89.78</v>
    <v>91.26</v>
    <v>90.81</v>
    <v>92.17</v>
    <v>90.46</v>
    <v>90.65</v>
    <v>88.46</v>
    <v>88.17</v>
    <v>88.28</v>
    <v>90.03</v>
    <v>90.81</v>
    <v>91.881399999999999</v>
    <v>89.65</v>
    <v>89.78</v>
    <v>90.25</v>
    <v>89.92</v>
    <v>89.29</v>
    <v>88.9</v>
    <v>90.6</v>
    <v>92.020099999999999</v>
    <v>91.4</v>
    <v>91.87</v>
    <v>89.82</v>
    <v>88.898899999999998</v>
    <v>89.6</v>
    <v>91.844999999999999</v>
    <v>90.394999999999996</v>
    <v>90.78</v>
    <v>91.77</v>
    <v>93</v>
    <v>90.58</v>
    <v>90.07</v>
    <v>90.95</v>
    <v>90.974999999999994</v>
    <v>88.55</v>
    <v>88.94</v>
    <v>87.61</v>
    <v>87.58</v>
    <v>87.13</v>
    <v>86.25</v>
    <v>88.05</v>
    <v>87.950900000000004</v>
    <v>86.66</v>
    <v>86.71</v>
    <v>88.658600000000007</v>
    <v>89.25</v>
    <v>89.18</v>
    <v>87.08</v>
    <v>86.9</v>
    <v>88.25</v>
    <v>89.62</v>
    <v>86.84</v>
    <v>86.43</v>
    <v>84.584999999999994</v>
    <v>83.06</v>
    <v>84.98</v>
    <v>85.26</v>
    <v>83.63</v>
    <v>83.63</v>
    <v>81.2</v>
    <v>80.36</v>
    <v>80.538499999999999</v>
    <v>79.25</v>
    <v>78.11</v>
    <v>76.347899999999996</v>
    <v>78.054000000000002</v>
    <v>78.5</v>
    <v>80.16</v>
    <v>80.02</v>
    <v>79.2</v>
    <v>80.69</v>
    <v>75.05</v>
    <v>84.54</v>
    <v>84.83</v>
    <v>85.885000000000005</v>
    <v>86.77</v>
    <v>87.07</v>
    <v>89.15</v>
    <v>89.89</v>
    <v>87.89</v>
    <v>88.89</v>
    <v>88.39</v>
    <v>89</v>
    <v>89.09</v>
    <v>89.5</v>
    <v>88.41</v>
    <v>87.73</v>
    <v>87.915499999999994</v>
    <v>87.6</v>
    <v>87.21</v>
    <v>86.45</v>
    <v>83.37</v>
    <v>85.01</v>
    <v>87.4</v>
    <v>90.5</v>
    <v>92.305000000000007</v>
    <v>91.57</v>
    <v>91.105000000000004</v>
    <v>93.33</v>
    <v>92.5</v>
    <v>91.82</v>
    <v>89.3</v>
    <v>87.64</v>
    <v>87.123999999999995</v>
    <v>89.5</v>
    <v>90.29</v>
    <v>89.98</v>
    <v>91.05</v>
    <v>90.37</v>
    <v>84</v>
    <v>84.224999999999994</v>
    <v>84.45</v>
    <v>80.17</v>
    <v>79.704999999999998</v>
    <v>81.67</v>
    <v>83.17</v>
    <v>86.25</v>
    <v>87.15</v>
    <v>86.15</v>
    <v>83.355000000000004</v>
    <v>85.15</v>
    <v>80.95</v>
    <v>80.56</v>
    <v>80.62</v>
    <v>73.739999999999995</v>
    <v>68.77</v>
    <v>68.959999999999994</v>
    <v>70.25</v>
    <v>72.844999999999999</v>
    <v>71.260000000000005</v>
    <v>71.12</v>
    <v>70.16</v>
    <v>71.337000000000003</v>
    <v>72.75</v>
    <v>78.36</v>
    <v>78.099999999999994</v>
    <v>76.400000000000006</v>
    <v>78.709999999999994</v>
    <v>78.775000000000006</v>
    <v>77.989999999999995</v>
  </a>
  <a r="1" c="252">
    <v>109.47</v>
    <v>113.76</v>
    <v>116.81</v>
    <v>115.37</v>
    <v>115.44</v>
    <v>114.95</v>
    <v>115.02</v>
    <v>118.06659999999999</v>
    <v>117.85</v>
    <v>117.17</v>
    <v>113.70529999999999</v>
    <v>112.19</v>
    <v>106.79</v>
    <v>105.94</v>
    <v>106.93</v>
    <v>103.64</v>
    <v>97.15</v>
    <v>96.98</v>
    <v>96.73</v>
    <v>102.94</v>
    <v>102.73</v>
    <v>102.15</v>
    <v>104.76990000000001</v>
    <v>102.8</v>
    <v>101.67</v>
    <v>99.85</v>
    <v>97.214399999999998</v>
    <v>95.41</v>
    <v>101.31</v>
    <v>102.43</v>
    <v>103.5</v>
    <v>105.2</v>
    <v>114.12</v>
    <v>112.85</v>
    <v>114.1</v>
    <v>114.4071</v>
    <v>116.5</v>
    <v>118.14</v>
    <v>118.535</v>
    <v>121.08</v>
    <v>121.93</v>
    <v>124.2</v>
    <v>124.89</v>
    <v>125.34</v>
    <v>125.48</v>
    <v>127.56699999999999</v>
    <v>127.40089999999999</v>
    <v>126.27</v>
    <v>124.105</v>
    <v>124.99</v>
    <v>124.78</v>
    <v>127.5219</v>
    <v>112.08</v>
    <v>107.84</v>
    <v>107.36</v>
    <v>105.26</v>
    <v>105.11750000000001</v>
    <v>106.62</v>
    <v>106.59</v>
    <v>105.52500000000001</v>
    <v>105.45</v>
    <v>102.28</v>
    <v>102.25</v>
    <v>101.04</v>
    <v>99.62</v>
    <v>99.880700000000004</v>
    <v>99.95</v>
    <v>99.7</v>
    <v>101.325</v>
    <v>100.07</v>
    <v>100.48</v>
    <v>99.981899999999996</v>
    <v>98.6999</v>
    <v>99.79</v>
    <v>100.6</v>
    <v>99.89</v>
    <v>98.76</v>
    <v>99.761499999999998</v>
    <v>98.846000000000004</v>
    <v>98.2</v>
    <v>99.88</v>
    <v>98.923100000000005</v>
    <v>94.61</v>
    <v>92.53</v>
    <v>92.86</v>
    <v>91.54</v>
    <v>93.064999999999998</v>
    <v>95.875</v>
    <v>96.08</v>
    <v>97.489900000000006</v>
    <v>96.7</v>
    <v>97.97</v>
    <v>104.98</v>
    <v>101.5</v>
    <v>101.935</v>
    <v>101.32</v>
    <v>100.15</v>
    <v>97.28</v>
    <v>97.74</v>
    <v>98.1</v>
    <v>97.83</v>
    <v>98.35</v>
    <v>93.58</v>
    <v>92.43</v>
    <v>89.4</v>
    <v>91.95</v>
    <v>90.745000000000005</v>
    <v>92.34</v>
    <v>92.77</v>
    <v>92.5</v>
    <v>91.79</v>
    <v>90.42</v>
    <v>93.302499999999995</v>
    <v>95</v>
    <v>93.39</v>
    <v>98.869900000000001</v>
    <v>93.98</v>
    <v>95.66</v>
    <v>91.64</v>
    <v>90.25</v>
    <v>90.85</v>
    <v>91.95</v>
    <v>92.73</v>
    <v>93.95</v>
    <v>94.34</v>
    <v>92.14</v>
    <v>92.47</v>
    <v>91.806399999999996</v>
    <v>91</v>
    <v>91.728099999999998</v>
    <v>94</v>
    <v>94.15</v>
    <v>94.35</v>
    <v>94.2</v>
    <v>93.8</v>
    <v>91.45</v>
    <v>91.69</v>
    <v>94.71</v>
    <v>94.09</v>
    <v>92.95</v>
    <v>95.489900000000006</v>
    <v>95.26</v>
    <v>96.37</v>
    <v>94.58</v>
    <v>93.31</v>
    <v>94.4</v>
    <v>93.4435</v>
    <v>90.685000000000002</v>
    <v>90.05</v>
    <v>89.95</v>
    <v>90.19</v>
    <v>87.8</v>
    <v>89.33</v>
    <v>89.95</v>
    <v>88.95</v>
    <v>88.64</v>
    <v>89.81</v>
    <v>90.6</v>
    <v>90.98</v>
    <v>89.28</v>
    <v>89.88</v>
    <v>91.6</v>
    <v>92.5</v>
    <v>90.26</v>
    <v>87.96</v>
    <v>87.814999999999998</v>
    <v>85.55</v>
    <v>86.515900000000002</v>
    <v>86.87</v>
    <v>86.38</v>
    <v>85.1</v>
    <v>84.29</v>
    <v>83.715000000000003</v>
    <v>82.144999999999996</v>
    <v>81.150000000000006</v>
    <v>81.89</v>
    <v>79.48</v>
    <v>80.069999999999993</v>
    <v>81.72</v>
    <v>81.239999999999995</v>
    <v>80.875799999999998</v>
    <v>81.165000000000006</v>
    <v>82.5</v>
    <v>87</v>
    <v>88.02</v>
    <v>86.29</v>
    <v>88.32</v>
    <v>87.99</v>
    <v>90.21</v>
    <v>91.4</v>
    <v>91.65</v>
    <v>90.989000000000004</v>
    <v>91.5</v>
    <v>92.84</v>
    <v>90.91</v>
    <v>90.65</v>
    <v>91.924999999999997</v>
    <v>90.9</v>
    <v>88.94</v>
    <v>88.95</v>
    <v>88.727000000000004</v>
    <v>88.4</v>
    <v>87.72</v>
    <v>87.15</v>
    <v>91.36</v>
    <v>90.89</v>
    <v>94.65</v>
    <v>94.1</v>
    <v>94.25</v>
    <v>94.59</v>
    <v>97.23</v>
    <v>97.36</v>
    <v>97.45</v>
    <v>92.41</v>
    <v>91.37</v>
    <v>89.82</v>
    <v>91.66</v>
    <v>92.88</v>
    <v>92.12</v>
    <v>92.7</v>
    <v>92.489900000000006</v>
    <v>89.26</v>
    <v>86.72</v>
    <v>88.77</v>
    <v>87.71</v>
    <v>84.12</v>
    <v>85.3</v>
    <v>86.84</v>
    <v>88.89</v>
    <v>89.19</v>
    <v>89.789000000000001</v>
    <v>89.5</v>
    <v>88.05</v>
    <v>87.504999999999995</v>
    <v>84.35</v>
    <v>82.99</v>
    <v>83.53</v>
    <v>73.55</v>
    <v>71.979900000000001</v>
    <v>73.17</v>
    <v>76.45</v>
    <v>73.88</v>
    <v>74.37</v>
    <v>73.564999999999998</v>
    <v>73.822500000000005</v>
    <v>80.349999999999994</v>
    <v>81.56</v>
    <v>81.004999999999995</v>
    <v>80.635000000000005</v>
    <v>81.56</v>
    <v>82.49</v>
    <v>80.81</v>
  </a>
  <a r="1" c="252">
    <v>106.63</v>
    <v>112.55</v>
    <v>115.64</v>
    <v>112.92</v>
    <v>114.08</v>
    <v>112.8</v>
    <v>113.74</v>
    <v>116.38</v>
    <v>116.72</v>
    <v>114.02</v>
    <v>111.2</v>
    <v>107.99</v>
    <v>105.22</v>
    <v>104.69</v>
    <v>105.38</v>
    <v>100.27</v>
    <v>91.93</v>
    <v>91.24</v>
    <v>91.39</v>
    <v>101.73</v>
    <v>101.63</v>
    <v>101.82</v>
    <v>100.88</v>
    <v>100.21</v>
    <v>99.97</v>
    <v>97.93</v>
    <v>92.46</v>
    <v>94.33</v>
    <v>98.33</v>
    <v>101.54</v>
    <v>103.38</v>
    <v>104.79</v>
    <v>112.54</v>
    <v>112.16</v>
    <v>111.86</v>
    <v>112.9</v>
    <v>115.71</v>
    <v>117.07</v>
    <v>118.03</v>
    <v>120.75</v>
    <v>119.45</v>
    <v>124.17</v>
    <v>124.05</v>
    <v>123.34</v>
    <v>124.39</v>
    <v>127.3</v>
    <v>126.44</v>
    <v>125.54</v>
    <v>122.06</v>
    <v>123.91</v>
    <v>123.72</v>
    <v>125.5</v>
    <v>105.22499999999999</v>
    <v>106.63</v>
    <v>103.17</v>
    <v>104.73</v>
    <v>103.58</v>
    <v>105.6</v>
    <v>104.18</v>
    <v>105.08</v>
    <v>101.2</v>
    <v>100.78</v>
    <v>100.44</v>
    <v>100.18</v>
    <v>97.48</v>
    <v>99.28</v>
    <v>98.67</v>
    <v>99</v>
    <v>99.42</v>
    <v>98.66</v>
    <v>98.53</v>
    <v>98.21</v>
    <v>98.13</v>
    <v>98.43</v>
    <v>99.97</v>
    <v>98.55</v>
    <v>98.14</v>
    <v>99.11</v>
    <v>97.4</v>
    <v>97.53</v>
    <v>99.15</v>
    <v>94.41</v>
    <v>91.56</v>
    <v>91.97</v>
    <v>91.1</v>
    <v>91.07</v>
    <v>92.1</v>
    <v>95.43</v>
    <v>95.86</v>
    <v>95.65</v>
    <v>95.63</v>
    <v>97.89</v>
    <v>101.1</v>
    <v>97.84</v>
    <v>98.99</v>
    <v>99.77</v>
    <v>97.8</v>
    <v>95.13</v>
    <v>97.72</v>
    <v>95.98</v>
    <v>97.75</v>
    <v>93.58</v>
    <v>91.55</v>
    <v>88.51</v>
    <v>89.33</v>
    <v>90.98</v>
    <v>88.61</v>
    <v>92.02</v>
    <v>91.38</v>
    <v>91.15</v>
    <v>91.03</v>
    <v>89.78</v>
    <v>92.05</v>
    <v>91.35</v>
    <v>91.56</v>
    <v>93.03</v>
    <v>92.59</v>
    <v>92.77</v>
    <v>89.5</v>
    <v>89.82</v>
    <v>89.74</v>
    <v>91.48</v>
    <v>92.68</v>
    <v>93.85</v>
    <v>90.21</v>
    <v>91.96</v>
    <v>90.34</v>
    <v>90.91</v>
    <v>89.92</v>
    <v>90</v>
    <v>93.6</v>
    <v>93.37</v>
    <v>92.38</v>
    <v>92.2</v>
    <v>89.87</v>
    <v>91.19</v>
    <v>91.16</v>
    <v>93.86</v>
    <v>91.7</v>
    <v>91.69</v>
    <v>94.92</v>
    <v>93.3</v>
    <v>93.71</v>
    <v>90.89</v>
    <v>92.63</v>
    <v>93.64</v>
    <v>89.35</v>
    <v>90.14</v>
    <v>89.08</v>
    <v>88.35</v>
    <v>87.71</v>
    <v>87.43</v>
    <v>88.32</v>
    <v>89.45</v>
    <v>87.04</v>
    <v>88.55</v>
    <v>89.07</v>
    <v>90.01</v>
    <v>89.31</v>
    <v>87.65</v>
    <v>87.91</v>
    <v>91.53</v>
    <v>91.08</v>
    <v>86.97</v>
    <v>87.13</v>
    <v>85.87</v>
    <v>85.21</v>
    <v>85.734999999999999</v>
    <v>85.58</v>
    <v>84.69</v>
    <v>83.76</v>
    <v>83.94</v>
    <v>81.069999999999993</v>
    <v>81.03</v>
    <v>80.09</v>
    <v>78.319999999999993</v>
    <v>78.680000000000007</v>
    <v>79.150000000000006</v>
    <v>81.16</v>
    <v>80.56</v>
    <v>80.33</v>
    <v>80.64</v>
    <v>81.87</v>
    <v>86.34</v>
    <v>85.9</v>
    <v>85.89</v>
    <v>87.29</v>
    <v>87.79</v>
    <v>89.84</v>
    <v>90.59</v>
    <v>90.18</v>
    <v>88.2</v>
    <v>90.59</v>
    <v>88.42</v>
    <v>90.23</v>
    <v>90.21</v>
    <v>90.94</v>
    <v>89.06</v>
    <v>88.39</v>
    <v>88.61</v>
    <v>88.08</v>
    <v>87.43</v>
    <v>86.47</v>
    <v>83.64</v>
    <v>87.71</v>
    <v>90.36</v>
    <v>93.84</v>
    <v>93.93</v>
    <v>92.23</v>
    <v>93.57</v>
    <v>94.07</v>
    <v>93.35</v>
    <v>91.94</v>
    <v>89.55</v>
    <v>87.71</v>
    <v>88.94</v>
    <v>91.46</v>
    <v>90.76</v>
    <v>91.29</v>
    <v>91.46</v>
    <v>90.74</v>
    <v>85.69</v>
    <v>84.48</v>
    <v>88.13</v>
    <v>82.31</v>
    <v>83.42</v>
    <v>82.15</v>
    <v>86.74</v>
    <v>88.18</v>
    <v>88.45</v>
    <v>88.18</v>
    <v>84.91</v>
    <v>87.26</v>
    <v>82.46</v>
    <v>82.93</v>
    <v>81.8</v>
    <v>74.290000000000006</v>
    <v>69.510000000000005</v>
    <v>71.14</v>
    <v>73.004999999999995</v>
    <v>75.25</v>
    <v>72.5</v>
    <v>73.97</v>
    <v>72.52</v>
    <v>71.739999999999995</v>
    <v>79.650000000000006</v>
    <v>80.72</v>
    <v>79.709999999999994</v>
    <v>79.61</v>
    <v>80.849999999999994</v>
    <v>78.95</v>
    <v>79.16</v>
  </a>
</arrayData>
</file>

<file path=xl/richData/rdrichvalue.xml><?xml version="1.0" encoding="utf-8"?>
<rvData xmlns="http://schemas.microsoft.com/office/spreadsheetml/2017/richdata" count="24">
  <rv s="0">
    <fb>79.16</fb>
    <v>0</v>
  </rv>
  <rv s="0">
    <fb>80.72</fb>
    <v>0</v>
  </rv>
  <rv s="0">
    <fb>428.99</fb>
    <v>0</v>
  </rv>
  <rv s="0">
    <fb>79.03</fb>
    <v>0</v>
  </rv>
  <rv s="0">
    <fb>148.69999999999999</fb>
    <v>0</v>
  </rv>
  <rv s="0">
    <fb>92.66</fb>
    <v>0</v>
  </rv>
  <rv s="0">
    <fb>146.99</fb>
    <v>0</v>
  </rv>
  <rv s="1">
    <v>1</v>
    <v>OKTA</v>
    <v>Weekly</v>
    <v>45683</v>
    <v>46053</v>
    <v>0</v>
    <v>1</v>
    <v>639053280000000000,639093226297155749,0</v>
    <v>0</v>
    <v>a1z6qh</v>
    <v>XNAS:OKTA</v>
    <v>1</v>
  </rv>
  <rv s="1">
    <v>1</v>
    <v>OKTA</v>
    <v>Weekly</v>
    <v>44955</v>
    <v>45325</v>
    <v>0</v>
    <v>1</v>
    <v>638424288000000000,639093226297430835,0</v>
    <v>2</v>
    <v>a1z6qh</v>
    <v>XNAS:OKTA</v>
    <v>3</v>
  </rv>
  <rv s="1">
    <v>1</v>
    <v>OKTA</v>
    <v>Weekly</v>
    <v>44591</v>
    <v>44961</v>
    <v>0</v>
    <v>1</v>
    <v>638109792000000000,639093226298406522,0</v>
    <v>4</v>
    <v>a1z6qh</v>
    <v>XNAS:OKTA</v>
    <v>5</v>
  </rv>
  <rv s="1">
    <v>1</v>
    <v>OKTA</v>
    <v>Weekly</v>
    <v>44227</v>
    <v>44597</v>
    <v>0</v>
    <v>1</v>
    <v>637795296000000000,639093226298151377,0</v>
    <v>6</v>
    <v>a1z6qh</v>
    <v>XNAS:OKTA</v>
    <v>7</v>
  </rv>
  <rv s="1">
    <v>1</v>
    <v>OKTA</v>
    <v>Weekly</v>
    <v>45319</v>
    <v>45689</v>
    <v>0</v>
    <v>1</v>
    <v>638738784000000000,639093226297679713,0</v>
    <v>0</v>
    <v>a1z6qh</v>
    <v>XNAS:OKTA</v>
    <v>8</v>
  </rv>
  <rv s="1">
    <v>1</v>
    <v>OKTA</v>
    <v>Weekly</v>
    <v>43863</v>
    <v>44233</v>
    <v>0</v>
    <v>1</v>
    <v>637480800000000000,639093226297912426,0</v>
    <v>9</v>
    <v>a1z6qh</v>
    <v>XNAS:OKTA</v>
    <v>10</v>
  </rv>
  <rv s="1">
    <v>1</v>
    <v>OKTA</v>
    <v>Weekly</v>
    <v>46082</v>
    <v>46088</v>
    <v>0</v>
    <v>1</v>
    <v>639083520000000000,639093226300455776,0</v>
    <v>11</v>
    <v>a1z6qh</v>
    <v>XNAS:OKTA</v>
    <v>12</v>
  </rv>
  <rv s="1">
    <v>1</v>
    <v>OKTA</v>
    <v>Weekly</v>
    <v>46089</v>
    <v>46095</v>
    <v>0</v>
    <v>1</v>
    <v>639089568000000000,639093226299625591,0</v>
    <v>11</v>
    <v>a1z6qh</v>
    <v>XNAS:OKTA</v>
    <v>13</v>
  </rv>
  <rv s="1">
    <v>1</v>
    <v>ZS</v>
    <v>Weekly</v>
    <v>46075</v>
    <v>46081</v>
    <v>0</v>
    <v>1</v>
    <v>639077472000000000,639093226301309971,0</v>
    <v>11</v>
    <v>azbtyc</v>
    <v>XNAS:ZS</v>
    <v>14</v>
  </rv>
  <rv s="1">
    <v>1</v>
    <v>CRWD</v>
    <v>Weekly</v>
    <v>46082</v>
    <v>46088</v>
    <v>0</v>
    <v>1</v>
    <v>639083520000000000,639093226296904166,0</v>
    <v>11</v>
    <v>bq8rqh</v>
    <v>XNAS:CRWD</v>
    <v>15</v>
  </rv>
  <rv s="1">
    <v>1</v>
    <v>FTNT</v>
    <v>Weekly</v>
    <v>46075</v>
    <v>46081</v>
    <v>0</v>
    <v>1</v>
    <v>639077472000000000,639093226302167275,0</v>
    <v>11</v>
    <v>a1tg3m</v>
    <v>XNAS:FTNT</v>
    <v>16</v>
  </rv>
  <rv s="1">
    <v>1</v>
    <v>PANW</v>
    <v>Weekly</v>
    <v>46068</v>
    <v>46074</v>
    <v>0</v>
    <v>1</v>
    <v>639071424000000000,639093226300883745,0</v>
    <v>17</v>
    <v>a1zgm7</v>
    <v>XNAS:PANW</v>
    <v>18</v>
  </rv>
  <rv s="1">
    <v>1</v>
    <v>QLYS</v>
    <v>Weekly</v>
    <v>46068</v>
    <v>46074</v>
    <v>0</v>
    <v>1</v>
    <v>639071424000000000,639093226301742201,0</v>
    <v>17</v>
    <v>a21m4c</v>
    <v>XNAS:QLYS</v>
    <v>19</v>
  </rv>
  <rv s="1">
    <v>1</v>
    <v>^TNX</v>
    <v>Weekly</v>
    <v>46089</v>
    <v>46095</v>
    <v>0</v>
    <v>1</v>
    <v>639089568000000000,639091143695327550,0</v>
    <v>11</v>
    <v>a33knm</v>
    <v>TNX</v>
    <v>20</v>
  </rv>
  <rv s="2">
    <v>2</v>
    <v>OKTA</v>
    <v>Daily</v>
    <v>45729</v>
    <v>46094</v>
    <v>0</v>
    <v>1</v>
    <v>639089568000000000,639091943167380389,0</v>
    <v>21</v>
    <v>a1z6qh</v>
    <v>XNAS:OKTA</v>
    <v>22</v>
  </rv>
  <rv s="3">
    <v>3</v>
    <v>OKTA</v>
    <v>Daily</v>
    <v>45729</v>
    <v>46094</v>
    <v>0</v>
    <v>1</v>
    <v>639089568000000000,639091943299918091,0</v>
    <v>21</v>
    <v>a1z6qh</v>
    <v>XNAS:OKTA</v>
    <v>23</v>
  </rv>
  <rv s="1">
    <v>1</v>
    <v>OKTA</v>
    <v>Daily</v>
    <v>45729</v>
    <v>46094</v>
    <v>0</v>
    <v>1</v>
    <v>639089568000000000,639091943630203342,0</v>
    <v>21</v>
    <v>a1z6qh</v>
    <v>XNAS:OKTA</v>
    <v>24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Low" t="a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High" t="a"/>
  </s>
</rvStructures>
</file>

<file path=xl/richData/rdsupportingpropertybag.xml><?xml version="1.0" encoding="utf-8"?>
<supportingPropertyBags xmlns="http://schemas.microsoft.com/office/spreadsheetml/2017/richdata2">
  <spbData count="4">
    <spb s="0">
      <v>1</v>
    </spb>
    <spb s="1">
      <v>2</v>
      <v>1</v>
    </spb>
    <spb s="2">
      <v>1</v>
      <v>2</v>
    </spb>
    <spb s="3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4">
  <s>
    <k n="_Self" t="i"/>
  </s>
  <s>
    <k n="Date" t="i"/>
    <k n="Close" t="i"/>
  </s>
  <s>
    <k n="Low" t="i"/>
    <k n="Date" t="i"/>
  </s>
  <s>
    <k n="Date" t="i"/>
    <k n="High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31" dT="2026-03-15T18:02:13.19" personId="{F8B1B2E4-049A-45BD-BB73-CF1D4394F306}" id="{3F840ECA-0531-4DE4-9D82-7AE6C3D8BA56}">
    <text>Yahoo Finance Analyst 1Y price targets.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2" dT="2026-03-08T05:21:37.12" personId="{F8B1B2E4-049A-45BD-BB73-CF1D4394F306}" id="{F2893250-90AF-4865-B2CD-7569F919F10B}">
    <text>No more lease impairment charges or early debt extinguishment—only other which is stable now.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9" dT="2026-03-14T16:12:44.09" personId="{F8B1B2E4-049A-45BD-BB73-CF1D4394F306}" id="{121DAB2B-FBE4-4751-B20E-182516966C80}">
    <text>From Kroll: https://www.kroll.com/en/reports/cost-of-capital/recommended-us-equity-risk-premium-and-corresponding-risk-free-rates</text>
    <extLst>
      <x:ext xmlns:xltc2="http://schemas.microsoft.com/office/spreadsheetml/2020/threadedcomments2" uri="{F7C98A9C-CBB3-438F-8F68-D28B6AF4A901}">
        <xltc2:checksum>12885407</xltc2:checksum>
        <xltc2:hyperlink startIndex="12" length="117" url="https://www.kroll.com/en/reports/cost-of-capital/recommended-us-equity-risk-premium-and-corresponding-risk-free-rates"/>
      </x:ext>
    </extLst>
  </threadedComment>
  <threadedComment ref="C10" dT="2026-03-14T19:53:35.03" personId="{F8B1B2E4-049A-45BD-BB73-CF1D4394F306}" id="{9E8CE35A-E17F-487A-BA6B-BF9D76DBEC4C}">
    <text>https://pages.stern.nyu.edu/~adamodar/New_Home_Page/datafile/totalbeta.html</text>
    <extLst>
      <x:ext xmlns:xltc2="http://schemas.microsoft.com/office/spreadsheetml/2020/threadedcomments2" uri="{F7C98A9C-CBB3-438F-8F68-D28B6AF4A901}">
        <xltc2:checksum>1823695140</xltc2:checksum>
        <xltc2:hyperlink startIndex="0" length="75" url="https://pages.stern.nyu.edu/~adamodar/New_Home_Page/datafile/totalbeta.html"/>
      </x:ext>
    </extLst>
  </threadedComment>
  <threadedComment ref="C12" dT="2026-03-14T16:20:48.62" personId="{F8B1B2E4-049A-45BD-BB73-CF1D4394F306}" id="{925A8B83-AFBF-4515-8BDC-C85B6CEBCB96}">
    <text>FRED: GDPC1CTMLR</text>
  </threadedComment>
  <threadedComment ref="C13" dT="2026-03-14T16:27:01.16" personId="{F8B1B2E4-049A-45BD-BB73-CF1D4394F306}" id="{258DC081-D752-4BFD-B616-A33BE55B6643}">
    <text>FRED: T10YIE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7" dT="2026-03-08T23:54:55.70" personId="{F8B1B2E4-049A-45BD-BB73-CF1D4394F306}" id="{EF2EF2FF-396B-4825-8575-6646CAFFCE10}">
    <text>FY26 guidance</text>
  </threadedComment>
  <threadedComment ref="G26" dT="2026-03-05T04:38:43.68" personId="{F8B1B2E4-049A-45BD-BB73-CF1D4394F306}" id="{0CC5E832-87D0-4B07-A229-8AD8474C5E4B}">
    <text>Guidance of 3,170-3,190</text>
  </threadedComment>
  <threadedComment ref="B69" dT="2026-03-09T04:50:37.41" personId="{F8B1B2E4-049A-45BD-BB73-CF1D4394F306}" id="{7AC62D2A-4DAE-4B08-A8F3-62EC1A6F6E90}">
    <text>Extremely low for the model’s future because of net operating loss tax sheltering.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D7" dT="2026-03-08T22:33:27.05" personId="{F8B1B2E4-049A-45BD-BB73-CF1D4394F306}" id="{6FB8289E-B973-4DC0-86A7-9753F34A36AB}">
    <text>$24M lease impairment</text>
  </threadedComment>
  <threadedComment ref="G53" dT="2026-03-08T22:12:59.82" personId="{F8B1B2E4-049A-45BD-BB73-CF1D4394F306}" id="{3CA2EDA8-EB0E-484A-A55A-87E249CA6B24}">
    <text>Mature business at this point—paying out as much as accrued each year.</text>
  </threadedComment>
  <threadedComment ref="B96" dT="2026-03-09T01:02:44.70" personId="{F8B1B2E4-049A-45BD-BB73-CF1D4394F306}" id="{34D8538F-6FC9-4912-AC97-1E654B486816}">
    <text>Built on TABLE3 in the 10k.</text>
  </threadedComment>
  <threadedComment ref="B101" dT="2026-03-09T01:02:44.70" personId="{F8B1B2E4-049A-45BD-BB73-CF1D4394F306}" id="{0C781CBB-9195-4CA5-8352-A4EEF0B0417B}">
    <text>Built on TABLE3 in the 10k.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B15" dT="2026-03-08T21:08:33.36" personId="{F8B1B2E4-049A-45BD-BB73-CF1D4394F306}" id="{33A7FF9F-7B5A-4A19-A856-4B34B24E1BDC}">
    <text>Found in TABLE31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88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4E5FCF8-BA85-4452-8605-0DAEE77E980C}">
  <we:reference id="wa200009404" version="1.0.0.5" store="en-US" storeType="OMEX"/>
  <we:alternateReferences>
    <we:reference id="wa200009404" version="1.0.0.5" store="wa2000094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5.xml"/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6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2C8BF-9B61-40EA-B610-0D76235B2A9B}">
  <sheetPr codeName="Sheet18">
    <tabColor theme="5" tint="0.79998168889431442"/>
  </sheetPr>
  <dimension ref="B2:W41"/>
  <sheetViews>
    <sheetView showGridLines="0" tabSelected="1" zoomScale="80" zoomScaleNormal="80" workbookViewId="0">
      <selection activeCell="E31" sqref="E31"/>
    </sheetView>
  </sheetViews>
  <sheetFormatPr defaultRowHeight="15" x14ac:dyDescent="0.25"/>
  <cols>
    <col min="2" max="2" width="30.7109375" bestFit="1" customWidth="1"/>
    <col min="3" max="4" width="14.7109375" customWidth="1"/>
    <col min="5" max="5" width="26.5703125" bestFit="1" customWidth="1"/>
    <col min="6" max="8" width="12.7109375" style="57" customWidth="1"/>
    <col min="9" max="9" width="2.7109375" customWidth="1"/>
    <col min="12" max="12" width="5.5703125" bestFit="1" customWidth="1"/>
    <col min="13" max="16" width="9.140625" customWidth="1"/>
  </cols>
  <sheetData>
    <row r="2" spans="2:16" x14ac:dyDescent="0.25">
      <c r="B2" s="119" t="s">
        <v>446</v>
      </c>
    </row>
    <row r="3" spans="2:16" x14ac:dyDescent="0.25">
      <c r="B3" s="2" t="s">
        <v>430</v>
      </c>
      <c r="E3" s="2" t="s">
        <v>436</v>
      </c>
      <c r="F3" s="8" t="s">
        <v>447</v>
      </c>
      <c r="G3" s="8" t="s">
        <v>489</v>
      </c>
      <c r="H3" s="8" t="s">
        <v>448</v>
      </c>
    </row>
    <row r="4" spans="2:16" x14ac:dyDescent="0.25">
      <c r="B4" t="s">
        <v>375</v>
      </c>
      <c r="C4" s="210">
        <v>46418</v>
      </c>
      <c r="D4" s="192"/>
    </row>
    <row r="5" spans="2:16" x14ac:dyDescent="0.25">
      <c r="B5" t="s">
        <v>492</v>
      </c>
      <c r="C5" s="210">
        <v>46094</v>
      </c>
      <c r="D5" s="192"/>
    </row>
    <row r="6" spans="2:16" x14ac:dyDescent="0.25">
      <c r="E6" s="94" t="s">
        <v>453</v>
      </c>
      <c r="F6" s="214">
        <f ca="1">$G$6-_xlfn.STDEV.S('Eval Comps'!$D$15:$H$15)</f>
        <v>7.8598392883297468</v>
      </c>
      <c r="G6" s="214">
        <f ca="1">SUMPRODUCT('Eval Comps'!$D$11:$H$11,'Eval Comps'!$D$15:$H$15)/SUM('Eval Comps'!$D$11:$H$11)</f>
        <v>14.767426312662467</v>
      </c>
      <c r="H6" s="214">
        <f ca="1">$G$6+_xlfn.STDEV.S('Eval Comps'!$D$15:$H$15)</f>
        <v>21.675013336995185</v>
      </c>
    </row>
    <row r="7" spans="2:16" x14ac:dyDescent="0.25">
      <c r="B7" s="94" t="s">
        <v>476</v>
      </c>
      <c r="C7" s="7"/>
      <c r="E7" t="s">
        <v>450</v>
      </c>
      <c r="F7" s="212">
        <f ca="1">F6*$C$20</f>
        <v>22439.841168181429</v>
      </c>
      <c r="G7" s="212">
        <f ca="1">G6*$C$20</f>
        <v>42161.002122651342</v>
      </c>
      <c r="H7" s="212">
        <f ca="1">H6*$C$20</f>
        <v>61882.163077121251</v>
      </c>
    </row>
    <row r="8" spans="2:16" x14ac:dyDescent="0.25">
      <c r="B8" s="3" t="s">
        <v>516</v>
      </c>
      <c r="C8" cm="1" vm="1">
        <f t="array" aca="1" ref="C8" ca="1">_xlfn.STOCKHISTORY("OKTA",C5,,1,0,1)</f>
        <v>79.16</v>
      </c>
      <c r="D8" s="206"/>
      <c r="E8" t="s">
        <v>451</v>
      </c>
      <c r="F8" s="212">
        <f ca="1">F7-$C$16</f>
        <v>24642.841168181429</v>
      </c>
      <c r="G8" s="212">
        <f ca="1">G7-$C$16</f>
        <v>44364.002122651342</v>
      </c>
      <c r="H8" s="212">
        <f ca="1">H7-$C$16</f>
        <v>64085.163077121251</v>
      </c>
      <c r="I8" s="2"/>
    </row>
    <row r="9" spans="2:16" x14ac:dyDescent="0.25">
      <c r="B9" s="3" t="s">
        <v>491</v>
      </c>
      <c r="C9" s="206" vm="2">
        <f ca="1">'Eval Comps'!C5</f>
        <v>80.72</v>
      </c>
      <c r="E9" t="s">
        <v>452</v>
      </c>
      <c r="F9" s="213">
        <f ca="1">F8/$C$10</f>
        <v>137.44682451994774</v>
      </c>
      <c r="G9" s="213">
        <f ca="1">G8/$C$10</f>
        <v>247.44270245217996</v>
      </c>
      <c r="H9" s="213">
        <f ca="1">H8/$C$10</f>
        <v>357.43858038441215</v>
      </c>
    </row>
    <row r="10" spans="2:16" x14ac:dyDescent="0.25">
      <c r="B10" s="3" t="s">
        <v>431</v>
      </c>
      <c r="C10">
        <f>'Eval Comps'!C6</f>
        <v>179.29</v>
      </c>
      <c r="D10" s="202"/>
      <c r="F10" s="213"/>
      <c r="G10" s="213"/>
      <c r="H10" s="213"/>
    </row>
    <row r="11" spans="2:16" x14ac:dyDescent="0.25">
      <c r="B11" s="3" t="s">
        <v>434</v>
      </c>
      <c r="C11" s="202">
        <f ca="1">C9*C10</f>
        <v>14472.288799999998</v>
      </c>
      <c r="E11" s="94" t="s">
        <v>454</v>
      </c>
      <c r="F11" s="214">
        <f ca="1">$G$11-_xlfn.STDEV.S('Eval Comps'!$E$16:$G$16)</f>
        <v>24.855634024281756</v>
      </c>
      <c r="G11" s="214">
        <f ca="1">SUMPRODUCT('Eval Comps'!$E$11:$G$11,'Eval Comps'!$E$16:$G$16)/SUM('Eval Comps'!$E$11:$G$11)</f>
        <v>46.917120481453786</v>
      </c>
      <c r="H11" s="214">
        <f ca="1">$G$11+_xlfn.STDEV.S('Eval Comps'!$E$16:$G$16)</f>
        <v>68.978606938625816</v>
      </c>
    </row>
    <row r="12" spans="2:16" x14ac:dyDescent="0.25">
      <c r="E12" t="s">
        <v>450</v>
      </c>
      <c r="F12" s="212">
        <f ca="1">$C$21*F11</f>
        <v>6089.6303359490303</v>
      </c>
      <c r="G12" s="212">
        <f ca="1">$C$21*G11</f>
        <v>11494.694517956177</v>
      </c>
      <c r="H12" s="212">
        <f ca="1">$C$21*H11</f>
        <v>16899.758699963324</v>
      </c>
    </row>
    <row r="13" spans="2:16" x14ac:dyDescent="0.25">
      <c r="B13" s="208" t="s">
        <v>477</v>
      </c>
      <c r="C13" s="7"/>
      <c r="D13" s="11"/>
      <c r="E13" t="s">
        <v>451</v>
      </c>
      <c r="F13" s="212">
        <f ca="1">F12-$C$16</f>
        <v>8292.6303359490303</v>
      </c>
      <c r="G13" s="212">
        <f ca="1">G12-$C$16</f>
        <v>13697.694517956177</v>
      </c>
      <c r="H13" s="212">
        <f ca="1">H12-$C$16</f>
        <v>19102.758699963324</v>
      </c>
      <c r="M13" s="208" t="s">
        <v>504</v>
      </c>
      <c r="N13" s="208" t="s">
        <v>447</v>
      </c>
      <c r="O13" s="208" t="s">
        <v>513</v>
      </c>
      <c r="P13" s="208" t="s">
        <v>448</v>
      </c>
    </row>
    <row r="14" spans="2:16" x14ac:dyDescent="0.25">
      <c r="B14" s="3" t="s">
        <v>8</v>
      </c>
      <c r="C14" s="11">
        <f>-'Consolidated Model'!F65</f>
        <v>350</v>
      </c>
      <c r="D14" s="11"/>
      <c r="E14" t="s">
        <v>452</v>
      </c>
      <c r="F14" s="213">
        <f ca="1">F13/$C$10</f>
        <v>46.252609381164767</v>
      </c>
      <c r="G14" s="213">
        <f ca="1">G13/$C$10</f>
        <v>76.399657080462816</v>
      </c>
      <c r="H14" s="213">
        <f ca="1">H13/$C$10</f>
        <v>106.54670477976086</v>
      </c>
      <c r="M14" s="57" t="s">
        <v>505</v>
      </c>
      <c r="N14" s="213">
        <f t="shared" ref="N14:N20" ca="1" si="0">F30</f>
        <v>68.77</v>
      </c>
      <c r="O14" s="213">
        <f ca="1">P14-N14</f>
        <v>58.796999999999997</v>
      </c>
      <c r="P14" s="213">
        <f t="shared" ref="P14:P20" ca="1" si="1">H30</f>
        <v>127.56699999999999</v>
      </c>
    </row>
    <row r="15" spans="2:16" x14ac:dyDescent="0.25">
      <c r="B15" s="3" t="s">
        <v>432</v>
      </c>
      <c r="C15" s="11">
        <f>'Consolidated Model'!F52</f>
        <v>2553</v>
      </c>
      <c r="D15" s="201"/>
      <c r="M15" s="57" t="s">
        <v>506</v>
      </c>
      <c r="N15" s="213">
        <f t="shared" si="0"/>
        <v>75</v>
      </c>
      <c r="O15" s="213">
        <f t="shared" ref="O15:O20" si="2">P15-N15</f>
        <v>65</v>
      </c>
      <c r="P15" s="213">
        <f t="shared" si="1"/>
        <v>140</v>
      </c>
    </row>
    <row r="16" spans="2:16" x14ac:dyDescent="0.25">
      <c r="B16" s="3" t="s">
        <v>433</v>
      </c>
      <c r="C16" s="201">
        <f>C14-C15</f>
        <v>-2203</v>
      </c>
      <c r="D16" s="38"/>
      <c r="E16" s="94" t="s">
        <v>372</v>
      </c>
      <c r="F16" s="208" t="s">
        <v>371</v>
      </c>
      <c r="G16" s="208" t="s">
        <v>368</v>
      </c>
      <c r="H16" s="208" t="s">
        <v>373</v>
      </c>
      <c r="M16" s="57" t="s">
        <v>507</v>
      </c>
      <c r="N16" s="213">
        <f t="shared" ca="1" si="0"/>
        <v>137.44682451994774</v>
      </c>
      <c r="O16" s="213">
        <f t="shared" ca="1" si="2"/>
        <v>219.99175586446441</v>
      </c>
      <c r="P16" s="213">
        <f t="shared" ca="1" si="1"/>
        <v>357.43858038441215</v>
      </c>
    </row>
    <row r="17" spans="2:23" x14ac:dyDescent="0.25">
      <c r="B17" s="3" t="s">
        <v>435</v>
      </c>
      <c r="C17" s="38">
        <f ca="1">C11-C16</f>
        <v>16675.288799999998</v>
      </c>
      <c r="E17" s="3" t="s">
        <v>517</v>
      </c>
      <c r="F17" s="193">
        <v>0.5</v>
      </c>
      <c r="G17" s="193">
        <v>0.15</v>
      </c>
      <c r="H17" s="193">
        <v>0.35</v>
      </c>
      <c r="M17" s="57" t="s">
        <v>508</v>
      </c>
      <c r="N17" s="213">
        <f t="shared" ca="1" si="0"/>
        <v>46.252609381164767</v>
      </c>
      <c r="O17" s="213">
        <f t="shared" ca="1" si="2"/>
        <v>60.294095398596092</v>
      </c>
      <c r="P17" s="213">
        <f t="shared" ca="1" si="1"/>
        <v>106.54670477976086</v>
      </c>
    </row>
    <row r="18" spans="2:23" x14ac:dyDescent="0.25">
      <c r="M18" s="57" t="s">
        <v>509</v>
      </c>
      <c r="N18" s="213">
        <f t="shared" si="0"/>
        <v>60.669343077687202</v>
      </c>
      <c r="O18" s="213">
        <f t="shared" si="2"/>
        <v>121.33868615537439</v>
      </c>
      <c r="P18" s="213">
        <f t="shared" si="1"/>
        <v>182.00802923306159</v>
      </c>
    </row>
    <row r="19" spans="2:23" x14ac:dyDescent="0.25">
      <c r="B19" s="208" t="s">
        <v>478</v>
      </c>
      <c r="C19" s="7"/>
      <c r="D19" s="11"/>
      <c r="E19" s="94" t="s">
        <v>455</v>
      </c>
      <c r="F19" s="214">
        <v>25</v>
      </c>
      <c r="G19" s="214">
        <v>50</v>
      </c>
      <c r="H19" s="214">
        <v>75</v>
      </c>
      <c r="M19" s="57" t="s">
        <v>512</v>
      </c>
      <c r="N19" s="213">
        <f t="shared" si="0"/>
        <v>76.725533719829571</v>
      </c>
      <c r="O19" s="213">
        <f t="shared" si="2"/>
        <v>153.45106743965914</v>
      </c>
      <c r="P19" s="213">
        <f t="shared" si="1"/>
        <v>230.17660115948871</v>
      </c>
    </row>
    <row r="20" spans="2:23" x14ac:dyDescent="0.25">
      <c r="B20" s="3" t="s">
        <v>437</v>
      </c>
      <c r="C20" s="11">
        <f>'Consolidated Model'!F8</f>
        <v>2855</v>
      </c>
      <c r="D20" s="11"/>
      <c r="E20" t="s">
        <v>510</v>
      </c>
      <c r="F20" s="213" cm="1">
        <f t="array" ref="F20">F$19*MMULT($F$17:$H$17,'Scenario Outputs'!$J$37:$J$39)</f>
        <v>60.669343077687202</v>
      </c>
      <c r="G20" s="213" cm="1">
        <f t="array" ref="G20">G$19*MMULT($F$17:$H$17,'Scenario Outputs'!$J$37:$J$39)</f>
        <v>121.3386861553744</v>
      </c>
      <c r="H20" s="213" cm="1">
        <f t="array" ref="H20">H$19*MMULT($F$17:$H$17,'Scenario Outputs'!$J$37:$J$39)</f>
        <v>182.00802923306159</v>
      </c>
      <c r="M20" s="57" t="s">
        <v>499</v>
      </c>
      <c r="N20" s="213">
        <f t="shared" si="0"/>
        <v>65.585233420715042</v>
      </c>
      <c r="O20" s="213">
        <f t="shared" si="2"/>
        <v>98.228038373584695</v>
      </c>
      <c r="P20" s="213">
        <f t="shared" si="1"/>
        <v>163.81327179429974</v>
      </c>
    </row>
    <row r="21" spans="2:23" x14ac:dyDescent="0.25">
      <c r="B21" s="3" t="s">
        <v>438</v>
      </c>
      <c r="C21" s="11">
        <f>'Consolidated Model'!F29</f>
        <v>245</v>
      </c>
      <c r="D21" s="205"/>
      <c r="E21" t="s">
        <v>511</v>
      </c>
      <c r="F21" s="213" cm="1">
        <f t="array" ref="F21">F$19*MMULT($F$17:$H$17,'Scenario Outputs'!$K$37:$K$39)</f>
        <v>76.725533719829571</v>
      </c>
      <c r="G21" s="213" cm="1">
        <f t="array" ref="G21">G$19*MMULT($F$17:$H$17,'Scenario Outputs'!$K$37:$K$39)</f>
        <v>153.45106743965914</v>
      </c>
      <c r="H21" s="213" cm="1">
        <f t="array" ref="H21">H$19*MMULT($F$17:$H$17,'Scenario Outputs'!$K$37:$K$39)</f>
        <v>230.17660115948871</v>
      </c>
    </row>
    <row r="22" spans="2:23" x14ac:dyDescent="0.25">
      <c r="B22" s="3" t="s">
        <v>439</v>
      </c>
      <c r="C22" s="205">
        <f>'Consolidated Model'!F45</f>
        <v>1.31</v>
      </c>
      <c r="D22" s="11"/>
      <c r="F22" s="213"/>
      <c r="G22" s="213"/>
      <c r="H22" s="213"/>
    </row>
    <row r="23" spans="2:23" x14ac:dyDescent="0.25">
      <c r="B23" s="3" t="s">
        <v>440</v>
      </c>
      <c r="C23" s="11">
        <f>'Consolidated Model'!F113-'Consolidated Model'!F108</f>
        <v>522</v>
      </c>
      <c r="D23" s="114"/>
      <c r="E23" s="94" t="s">
        <v>499</v>
      </c>
      <c r="F23" s="208" t="s">
        <v>447</v>
      </c>
      <c r="G23" s="208" t="s">
        <v>500</v>
      </c>
      <c r="H23" s="208" t="s">
        <v>448</v>
      </c>
    </row>
    <row r="24" spans="2:23" x14ac:dyDescent="0.25">
      <c r="B24" s="3" t="s">
        <v>472</v>
      </c>
      <c r="C24" s="114">
        <f>'Eval Comps'!C13</f>
        <v>1.3107256400245413</v>
      </c>
      <c r="D24" s="200"/>
      <c r="E24" s="57" t="s">
        <v>365</v>
      </c>
      <c r="F24" s="213">
        <f>MIN(DCF!$Z$10:$AD$14)</f>
        <v>65.088850465725926</v>
      </c>
      <c r="G24" s="213">
        <f>DCF!$AB$12</f>
        <v>90.456188298287685</v>
      </c>
      <c r="H24" s="213">
        <f>MAX(DCF!$Z$10:$AD$14)</f>
        <v>162.16665737074015</v>
      </c>
    </row>
    <row r="25" spans="2:23" x14ac:dyDescent="0.25">
      <c r="B25" s="3" t="s">
        <v>473</v>
      </c>
      <c r="C25" s="200">
        <f ca="1">'Eval Comps'!C17</f>
        <v>61.584207659574467</v>
      </c>
      <c r="E25" s="57" t="s">
        <v>369</v>
      </c>
      <c r="F25" s="213">
        <f>MIN(DCF!$Z$23:$AD$27)</f>
        <v>50.32316358971498</v>
      </c>
      <c r="G25" s="213">
        <f>DCF!$AB$25</f>
        <v>68.033019131016786</v>
      </c>
      <c r="H25" s="213">
        <f>MAX(DCF!$Z$23:$AD$27)</f>
        <v>117.99353003513862</v>
      </c>
    </row>
    <row r="26" spans="2:23" x14ac:dyDescent="0.25">
      <c r="E26" s="57" t="s">
        <v>370</v>
      </c>
      <c r="F26" s="213">
        <f>MIN(DCF!$Z$36:$AD$40)</f>
        <v>72.835238998270952</v>
      </c>
      <c r="G26" s="213">
        <f>DCF!$AB$38</f>
        <v>102.33532266160969</v>
      </c>
      <c r="H26" s="213">
        <f>MAX(DCF!$Z$36:$AD$40)</f>
        <v>185.80261029616824</v>
      </c>
    </row>
    <row r="27" spans="2:23" x14ac:dyDescent="0.25">
      <c r="E27" s="57" t="s">
        <v>518</v>
      </c>
      <c r="F27" s="213" cm="1">
        <f t="array" ref="F27">MMULT($F$17:$H$17,F24:F26)</f>
        <v>65.585233420715042</v>
      </c>
      <c r="G27" s="213" cm="1">
        <f t="array" ref="G27">MMULT($F$17:$H$17,G24:G26)</f>
        <v>91.250409950359739</v>
      </c>
      <c r="H27" s="213" cm="1">
        <f t="array" ref="H27">MMULT($F$17:$H$17,H24:H26)</f>
        <v>163.81327179429974</v>
      </c>
    </row>
    <row r="29" spans="2:23" x14ac:dyDescent="0.25">
      <c r="B29" s="208" t="s">
        <v>504</v>
      </c>
      <c r="C29" s="94" t="s">
        <v>514</v>
      </c>
      <c r="E29" s="208" t="s">
        <v>504</v>
      </c>
      <c r="F29" s="208" t="s">
        <v>447</v>
      </c>
      <c r="G29" s="208" t="s">
        <v>500</v>
      </c>
      <c r="H29" s="208" t="s">
        <v>448</v>
      </c>
      <c r="K29" s="94"/>
      <c r="L29" s="94"/>
      <c r="M29" s="284" t="s">
        <v>499</v>
      </c>
      <c r="N29" s="284"/>
      <c r="O29" s="284"/>
      <c r="P29" s="284"/>
      <c r="Q29" s="284"/>
      <c r="R29" s="284"/>
      <c r="S29" s="284"/>
      <c r="T29" s="284"/>
      <c r="U29" s="284"/>
      <c r="V29" s="7"/>
      <c r="W29" s="7"/>
    </row>
    <row r="30" spans="2:23" x14ac:dyDescent="0.25">
      <c r="B30" s="57" t="s">
        <v>505</v>
      </c>
      <c r="E30" s="57" t="s">
        <v>505</v>
      </c>
      <c r="F30" s="213">
        <f ca="1">MIN(_xlfn.STOCKHISTORY('Eval Comps'!$C$3,$C$5-365,$C$5,0,0,4))</f>
        <v>68.77</v>
      </c>
      <c r="G30" s="213">
        <f ca="1">AVERAGE(_xlfn.STOCKHISTORY('Eval Comps'!$C$3,$C$5-365,$C$5,0,0,1))</f>
        <v>94.317876984126968</v>
      </c>
      <c r="H30" s="213">
        <f ca="1">MAX(_xlfn.STOCKHISTORY('Eval Comps'!$C$3,$C$5-365,$C$5,0,0,3))</f>
        <v>127.56699999999999</v>
      </c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</row>
    <row r="31" spans="2:23" x14ac:dyDescent="0.25">
      <c r="B31" s="57" t="s">
        <v>506</v>
      </c>
      <c r="E31" s="57" t="s">
        <v>506</v>
      </c>
      <c r="F31" s="213">
        <v>75</v>
      </c>
      <c r="G31" s="213">
        <v>100.95</v>
      </c>
      <c r="H31" s="213">
        <v>140</v>
      </c>
      <c r="M31" s="285" t="s">
        <v>480</v>
      </c>
      <c r="N31" s="285"/>
      <c r="O31" s="285"/>
      <c r="P31" s="285"/>
      <c r="Q31" s="285"/>
      <c r="R31" s="285"/>
      <c r="S31" s="285"/>
      <c r="T31" s="285"/>
      <c r="U31" s="285"/>
    </row>
    <row r="32" spans="2:23" ht="15.75" thickBot="1" x14ac:dyDescent="0.3">
      <c r="B32" s="57" t="s">
        <v>507</v>
      </c>
      <c r="C32" s="20">
        <v>0.1</v>
      </c>
      <c r="E32" s="57" t="s">
        <v>507</v>
      </c>
      <c r="F32" s="213">
        <f ca="1">F9</f>
        <v>137.44682451994774</v>
      </c>
      <c r="G32" s="213">
        <f t="shared" ref="G32:H32" ca="1" si="3">G9</f>
        <v>247.44270245217996</v>
      </c>
      <c r="H32" s="213">
        <f t="shared" ca="1" si="3"/>
        <v>357.43858038441215</v>
      </c>
      <c r="L32" s="22"/>
      <c r="M32" s="22">
        <f ca="1">DCF!X7</f>
        <v>6.6850000000000021E-2</v>
      </c>
      <c r="N32" s="22">
        <f ca="1">DCF!Y7</f>
        <v>7.6850000000000016E-2</v>
      </c>
      <c r="O32" s="22">
        <f ca="1">DCF!Z7</f>
        <v>8.6850000000000011E-2</v>
      </c>
      <c r="P32" s="22">
        <f ca="1">DCF!AA7</f>
        <v>9.6850000000000006E-2</v>
      </c>
      <c r="Q32" s="81">
        <f ca="1">DCF!AB7</f>
        <v>0.10685</v>
      </c>
      <c r="R32" s="22">
        <f ca="1">DCF!AC7</f>
        <v>0.11685</v>
      </c>
      <c r="S32" s="22">
        <f ca="1">DCF!AD7</f>
        <v>0.12684999999999999</v>
      </c>
      <c r="T32" s="22">
        <f ca="1">DCF!AE7</f>
        <v>0.13685</v>
      </c>
      <c r="U32" s="22">
        <f ca="1">DCF!AF7</f>
        <v>0.14685000000000001</v>
      </c>
    </row>
    <row r="33" spans="2:21" x14ac:dyDescent="0.25">
      <c r="B33" s="57" t="s">
        <v>508</v>
      </c>
      <c r="C33" s="20">
        <v>0.25</v>
      </c>
      <c r="E33" s="57" t="s">
        <v>508</v>
      </c>
      <c r="F33" s="213">
        <f ca="1">F14</f>
        <v>46.252609381164767</v>
      </c>
      <c r="G33" s="213">
        <f t="shared" ref="G33:H33" ca="1" si="4">G14</f>
        <v>76.399657080462816</v>
      </c>
      <c r="H33" s="213">
        <f t="shared" ca="1" si="4"/>
        <v>106.54670477976086</v>
      </c>
      <c r="K33" s="286" t="s">
        <v>496</v>
      </c>
      <c r="L33" s="22">
        <f>DCF!W8</f>
        <v>6.2599999999999989E-2</v>
      </c>
      <c r="M33" s="223"/>
      <c r="N33" s="224">
        <f>DCF!Y8*$F$17+DCF!Y21*$G$17+DCF!Y34*$H$17</f>
        <v>375.54718333426291</v>
      </c>
      <c r="O33" s="224">
        <f>DCF!Z8*$F$17+DCF!Z21*$G$17+DCF!Z34*$H$17</f>
        <v>217.88098053432986</v>
      </c>
      <c r="P33" s="224">
        <f>DCF!AA8*$F$17+DCF!AA21*$G$17+DCF!AA34*$H$17</f>
        <v>153.05840537676391</v>
      </c>
      <c r="Q33" s="225">
        <f>DCF!AB8*$F$17+DCF!AB21*$G$17+DCF!AB34*$H$17</f>
        <v>118.05949578894527</v>
      </c>
      <c r="R33" s="224">
        <f>DCF!AC8*$F$17+DCF!AC21*$G$17+DCF!AC34*$H$17</f>
        <v>96.338161637570408</v>
      </c>
      <c r="S33" s="224">
        <f>DCF!AD8*$F$17+DCF!AD21*$G$17+DCF!AD34*$H$17</f>
        <v>81.654977968654137</v>
      </c>
      <c r="T33" s="224">
        <f>DCF!AE8*$F$17+DCF!AE21*$G$17+DCF!AE34*$H$17</f>
        <v>71.136011489765195</v>
      </c>
      <c r="U33" s="226">
        <f>DCF!AF8*$F$17+DCF!AF21*$G$17+DCF!AF34*$H$17</f>
        <v>63.275046014836299</v>
      </c>
    </row>
    <row r="34" spans="2:21" x14ac:dyDescent="0.25">
      <c r="B34" s="57" t="s">
        <v>509</v>
      </c>
      <c r="C34" s="20">
        <v>0.15</v>
      </c>
      <c r="E34" s="57" t="s">
        <v>509</v>
      </c>
      <c r="F34" s="213">
        <f t="shared" ref="F34:H35" si="5">F20</f>
        <v>60.669343077687202</v>
      </c>
      <c r="G34" s="213">
        <f t="shared" si="5"/>
        <v>121.3386861553744</v>
      </c>
      <c r="H34" s="213">
        <f t="shared" si="5"/>
        <v>182.00802923306159</v>
      </c>
      <c r="K34" s="286"/>
      <c r="L34" s="22">
        <f>DCF!W9</f>
        <v>5.7599999999999991E-2</v>
      </c>
      <c r="M34" s="227">
        <f>DCF!X9*$F$17+DCF!X22*$G$17+DCF!X35*$H$17</f>
        <v>607.24994701321873</v>
      </c>
      <c r="N34" s="228">
        <f>DCF!Y9*$F$17+DCF!Y22*$G$17+DCF!Y35*$H$17</f>
        <v>286.59339059624074</v>
      </c>
      <c r="O34" s="241">
        <f>DCF!Z9*$F$17+DCF!Z22*$G$17+DCF!Z35*$H$17</f>
        <v>186.22596073400638</v>
      </c>
      <c r="P34" s="241">
        <f>DCF!AA9*$F$17+DCF!AA22*$G$17+DCF!AA35*$H$17</f>
        <v>137.67748898432706</v>
      </c>
      <c r="Q34" s="242">
        <f>DCF!AB9*$F$17+DCF!AB22*$G$17+DCF!AB35*$H$17</f>
        <v>109.31590161191366</v>
      </c>
      <c r="R34" s="241">
        <f>DCF!AC9*$F$17+DCF!AC22*$G$17+DCF!AC35*$H$17</f>
        <v>90.870971610240389</v>
      </c>
      <c r="S34" s="241">
        <f>DCF!AD9*$F$17+DCF!AD22*$G$17+DCF!AD35*$H$17</f>
        <v>78.009791399408783</v>
      </c>
      <c r="T34" s="228">
        <f>DCF!AE9*$F$17+DCF!AE22*$G$17+DCF!AE35*$H$17</f>
        <v>68.590470745719216</v>
      </c>
      <c r="U34" s="230">
        <f>DCF!AF9*$F$17+DCF!AF22*$G$17+DCF!AF35*$H$17</f>
        <v>61.433978470634173</v>
      </c>
    </row>
    <row r="35" spans="2:21" x14ac:dyDescent="0.25">
      <c r="B35" s="57" t="s">
        <v>512</v>
      </c>
      <c r="E35" s="57" t="s">
        <v>512</v>
      </c>
      <c r="F35" s="213">
        <f t="shared" si="5"/>
        <v>76.725533719829571</v>
      </c>
      <c r="G35" s="213">
        <f t="shared" si="5"/>
        <v>153.45106743965914</v>
      </c>
      <c r="H35" s="213">
        <f t="shared" si="5"/>
        <v>230.17660115948871</v>
      </c>
      <c r="K35" s="286"/>
      <c r="L35" s="22">
        <f>DCF!W10</f>
        <v>5.2599999999999994E-2</v>
      </c>
      <c r="M35" s="227">
        <f>DCF!X10*$F$17+DCF!X23*$G$17+DCF!X36*$H$17</f>
        <v>405.91460483016346</v>
      </c>
      <c r="N35" s="237">
        <f>DCF!Y10*$F$17+DCF!Y23*$G$17+DCF!Y36*$H$17</f>
        <v>234.32158514139104</v>
      </c>
      <c r="O35" s="245">
        <f>DCF!Z10*$F$17+DCF!Z23*$G$17+DCF!Z36*$H$17</f>
        <v>163.81327179429974</v>
      </c>
      <c r="P35" s="255">
        <f>DCF!AA10*$F$17+DCF!AA23*$G$17+DCF!AA36*$H$17</f>
        <v>125.77252217078475</v>
      </c>
      <c r="Q35" s="246">
        <f>DCF!AB10*$F$17+DCF!AB23*$G$17+DCF!AB36*$H$17</f>
        <v>102.1840677115288</v>
      </c>
      <c r="R35" s="255">
        <f>DCF!AC10*$F$17+DCF!AC23*$G$17+DCF!AC36*$H$17</f>
        <v>86.254690724524522</v>
      </c>
      <c r="S35" s="247">
        <f>DCF!AD10*$F$17+DCF!AD23*$G$17+DCF!AD36*$H$17</f>
        <v>74.855558034469297</v>
      </c>
      <c r="T35" s="239">
        <f>DCF!AE10*$F$17+DCF!AE23*$G$17+DCF!AE36*$H$17</f>
        <v>66.34704668414301</v>
      </c>
      <c r="U35" s="230">
        <f>DCF!AF10*$F$17+DCF!AF23*$G$17+DCF!AF36*$H$17</f>
        <v>59.788259244798937</v>
      </c>
    </row>
    <row r="36" spans="2:21" x14ac:dyDescent="0.25">
      <c r="B36" s="207" t="s">
        <v>499</v>
      </c>
      <c r="C36" s="277">
        <v>0.5</v>
      </c>
      <c r="E36" s="207" t="s">
        <v>499</v>
      </c>
      <c r="F36" s="215">
        <f>F27</f>
        <v>65.585233420715042</v>
      </c>
      <c r="G36" s="215">
        <f t="shared" ref="G36:H36" si="6">G27</f>
        <v>91.250409950359739</v>
      </c>
      <c r="H36" s="215">
        <f t="shared" si="6"/>
        <v>163.81327179429974</v>
      </c>
      <c r="K36" s="286"/>
      <c r="L36" s="22">
        <f>DCF!W11</f>
        <v>4.7599999999999996E-2</v>
      </c>
      <c r="M36" s="227">
        <f>DCF!X11*$F$17+DCF!X24*$G$17+DCF!X37*$H$17</f>
        <v>309.16905014222766</v>
      </c>
      <c r="N36" s="237">
        <f>DCF!Y11*$F$17+DCF!Y24*$G$17+DCF!Y37*$H$17</f>
        <v>199.92048636287581</v>
      </c>
      <c r="O36" s="248">
        <f>DCF!Z11*$F$17+DCF!Z24*$G$17+DCF!Z37*$H$17</f>
        <v>147.11080372580736</v>
      </c>
      <c r="P36" s="228">
        <f>DCF!AA11*$F$17+DCF!AA24*$G$17+DCF!AA37*$H$17</f>
        <v>116.28480673768755</v>
      </c>
      <c r="Q36" s="229">
        <f>DCF!AB11*$F$17+DCF!AB24*$G$17+DCF!AB37*$H$17</f>
        <v>96.255912209269894</v>
      </c>
      <c r="R36" s="228">
        <f>DCF!AC11*$F$17+DCF!AC24*$G$17+DCF!AC37*$H$17</f>
        <v>82.305036532991238</v>
      </c>
      <c r="S36" s="249">
        <f>DCF!AD11*$F$17+DCF!AD24*$G$17+DCF!AD37*$H$17</f>
        <v>72.099325115734288</v>
      </c>
      <c r="T36" s="239">
        <f>DCF!AE11*$F$17+DCF!AE24*$G$17+DCF!AE37*$H$17</f>
        <v>64.355000278877796</v>
      </c>
      <c r="U36" s="230">
        <f>DCF!AF11*$F$17+DCF!AF24*$G$17+DCF!AF37*$H$17</f>
        <v>58.308355178760671</v>
      </c>
    </row>
    <row r="37" spans="2:21" x14ac:dyDescent="0.25">
      <c r="B37" s="57" t="s">
        <v>113</v>
      </c>
      <c r="C37" s="20">
        <f>SUM(C30:C36)</f>
        <v>1</v>
      </c>
      <c r="E37" s="57" t="s">
        <v>515</v>
      </c>
      <c r="F37" s="213">
        <f ca="1">SUMPRODUCT($C$30:$C$36,F30:F36)</f>
        <v>67.200852969296562</v>
      </c>
      <c r="G37" s="213">
        <f ca="1">SUMPRODUCT($C$30:$C$36,G30:G36)</f>
        <v>107.67019241381973</v>
      </c>
      <c r="H37" s="213">
        <f ca="1">SUMPRODUCT($C$30:$C$36,H30:H36)</f>
        <v>171.58837451549056</v>
      </c>
      <c r="K37" s="286"/>
      <c r="L37" s="81">
        <f>DCF!W12</f>
        <v>4.2599999999999999E-2</v>
      </c>
      <c r="M37" s="231">
        <f>DCF!X12*$F$17+DCF!X25*$G$17+DCF!X38*$H$17</f>
        <v>252.31853979586145</v>
      </c>
      <c r="N37" s="238">
        <f>DCF!Y12*$F$17+DCF!Y25*$G$17+DCF!Y38*$H$17</f>
        <v>175.56349210775838</v>
      </c>
      <c r="O37" s="250">
        <f>DCF!Z12*$F$17+DCF!Z25*$G$17+DCF!Z38*$H$17</f>
        <v>134.18292710134421</v>
      </c>
      <c r="P37" s="229">
        <f>DCF!AA12*$F$17+DCF!AA25*$G$17+DCF!AA38*$H$17</f>
        <v>108.54595627196161</v>
      </c>
      <c r="Q37" s="229">
        <f>DCF!AB12*$F$17+DCF!AB25*$G$17+DCF!AB38*$H$17</f>
        <v>91.250409950359739</v>
      </c>
      <c r="R37" s="229">
        <f>DCF!AC12*$F$17+DCF!AC25*$G$17+DCF!AC38*$H$17</f>
        <v>78.887283172513804</v>
      </c>
      <c r="S37" s="251">
        <f>DCF!AD12*$F$17+DCF!AD25*$G$17+DCF!AD38*$H$17</f>
        <v>69.670221428969825</v>
      </c>
      <c r="T37" s="240">
        <f>DCF!AE12*$F$17+DCF!AE25*$G$17+DCF!AE38*$H$17</f>
        <v>62.574301411121645</v>
      </c>
      <c r="U37" s="232">
        <f>DCF!AF12*$F$17+DCF!AF25*$G$17+DCF!AF38*$H$17</f>
        <v>56.970419432204807</v>
      </c>
    </row>
    <row r="38" spans="2:21" x14ac:dyDescent="0.25">
      <c r="F38" s="213"/>
      <c r="G38" s="213"/>
      <c r="H38" s="213"/>
      <c r="K38" s="286"/>
      <c r="L38" s="22">
        <f>DCF!W13</f>
        <v>3.7600000000000001E-2</v>
      </c>
      <c r="M38" s="227">
        <f>DCF!X13*$F$17+DCF!X26*$G$17+DCF!X39*$H$17</f>
        <v>214.90412460259913</v>
      </c>
      <c r="N38" s="237">
        <f>DCF!Y13*$F$17+DCF!Y26*$G$17+DCF!Y39*$H$17</f>
        <v>157.41213955044901</v>
      </c>
      <c r="O38" s="248">
        <f>DCF!Z13*$F$17+DCF!Z26*$G$17+DCF!Z39*$H$17</f>
        <v>123.87999609571088</v>
      </c>
      <c r="P38" s="228">
        <f>DCF!AA13*$F$17+DCF!AA26*$G$17+DCF!AA39*$H$17</f>
        <v>102.11324669529813</v>
      </c>
      <c r="Q38" s="229">
        <f>DCF!AB13*$F$17+DCF!AB26*$G$17+DCF!AB39*$H$17</f>
        <v>86.967742205365596</v>
      </c>
      <c r="R38" s="228">
        <f>DCF!AC13*$F$17+DCF!AC26*$G$17+DCF!AC39*$H$17</f>
        <v>75.900833844609295</v>
      </c>
      <c r="S38" s="249">
        <f>DCF!AD13*$F$17+DCF!AD26*$G$17+DCF!AD39*$H$17</f>
        <v>67.513321992302977</v>
      </c>
      <c r="T38" s="239">
        <f>DCF!AE13*$F$17+DCF!AE26*$G$17+DCF!AE39*$H$17</f>
        <v>60.97302415081711</v>
      </c>
      <c r="U38" s="230">
        <f>DCF!AF13*$F$17+DCF!AF26*$G$17+DCF!AF39*$H$17</f>
        <v>55.754908249205201</v>
      </c>
    </row>
    <row r="39" spans="2:21" x14ac:dyDescent="0.25">
      <c r="F39" s="213"/>
      <c r="G39" s="213"/>
      <c r="H39" s="213"/>
      <c r="K39" s="286"/>
      <c r="L39" s="22">
        <f>DCF!W14</f>
        <v>3.2600000000000004E-2</v>
      </c>
      <c r="M39" s="227">
        <f>DCF!X14*$F$17+DCF!X27*$G$17+DCF!X40*$H$17</f>
        <v>188.41361481398852</v>
      </c>
      <c r="N39" s="237">
        <f>DCF!Y14*$F$17+DCF!Y27*$G$17+DCF!Y40*$H$17</f>
        <v>143.36273356015394</v>
      </c>
      <c r="O39" s="252">
        <f>DCF!Z14*$F$17+DCF!Z27*$G$17+DCF!Z40*$H$17</f>
        <v>115.47622566791233</v>
      </c>
      <c r="P39" s="256">
        <f>DCF!AA14*$F$17+DCF!AA27*$G$17+DCF!AA40*$H$17</f>
        <v>96.681750237046131</v>
      </c>
      <c r="Q39" s="253">
        <f>DCF!AB14*$F$17+DCF!AB27*$G$17+DCF!AB40*$H$17</f>
        <v>83.261877405321002</v>
      </c>
      <c r="R39" s="256">
        <f>DCF!AC14*$F$17+DCF!AC27*$G$17+DCF!AC40*$H$17</f>
        <v>73.268824251213118</v>
      </c>
      <c r="S39" s="254">
        <f>DCF!AD14*$F$17+DCF!AD27*$G$17+DCF!AD40*$H$17</f>
        <v>65.585233420715042</v>
      </c>
      <c r="T39" s="239">
        <f>DCF!AE14*$F$17+DCF!AE27*$G$17+DCF!AE40*$H$17</f>
        <v>59.52533883652184</v>
      </c>
      <c r="U39" s="230">
        <f>DCF!AF14*$F$17+DCF!AF27*$G$17+DCF!AF40*$H$17</f>
        <v>54.645800100396002</v>
      </c>
    </row>
    <row r="40" spans="2:21" x14ac:dyDescent="0.25">
      <c r="K40" s="286"/>
      <c r="L40" s="22">
        <f>DCF!W15</f>
        <v>2.7600000000000003E-2</v>
      </c>
      <c r="M40" s="227">
        <f>DCF!X15*$F$17+DCF!X28*$G$17+DCF!X41*$H$17</f>
        <v>168.67230185732612</v>
      </c>
      <c r="N40" s="228">
        <f>DCF!Y15*$F$17+DCF!Y28*$G$17+DCF!Y41*$H$17</f>
        <v>132.1660243181438</v>
      </c>
      <c r="O40" s="243">
        <f>DCF!Z15*$F$17+DCF!Z28*$G$17+DCF!Z41*$H$17</f>
        <v>108.49081655418595</v>
      </c>
      <c r="P40" s="243">
        <f>DCF!AA15*$F$17+DCF!AA28*$G$17+DCF!AA41*$H$17</f>
        <v>92.034564114005249</v>
      </c>
      <c r="Q40" s="244">
        <f>DCF!AB15*$F$17+DCF!AB28*$G$17+DCF!AB41*$H$17</f>
        <v>80.023609794188189</v>
      </c>
      <c r="R40" s="243">
        <f>DCF!AC15*$F$17+DCF!AC28*$G$17+DCF!AC41*$H$17</f>
        <v>70.931736293156334</v>
      </c>
      <c r="S40" s="243">
        <f>DCF!AD15*$F$17+DCF!AD28*$G$17+DCF!AD41*$H$17</f>
        <v>63.851450164537901</v>
      </c>
      <c r="T40" s="228">
        <f>DCF!AE15*$F$17+DCF!AE28*$G$17+DCF!AE41*$H$17</f>
        <v>58.210167884433041</v>
      </c>
      <c r="U40" s="230">
        <f>DCF!AF15*$F$17+DCF!AF28*$G$17+DCF!AF41*$H$17</f>
        <v>53.629747894472644</v>
      </c>
    </row>
    <row r="41" spans="2:21" ht="15.75" thickBot="1" x14ac:dyDescent="0.3">
      <c r="K41" s="286"/>
      <c r="L41" s="22">
        <f>DCF!W16</f>
        <v>2.2600000000000002E-2</v>
      </c>
      <c r="M41" s="233">
        <f>DCF!X16*$F$17+DCF!X29*$G$17+DCF!X42*$H$17</f>
        <v>153.39228066261364</v>
      </c>
      <c r="N41" s="234">
        <f>DCF!Y16*$F$17+DCF!Y29*$G$17+DCF!Y42*$H$17</f>
        <v>123.03322550058564</v>
      </c>
      <c r="O41" s="234">
        <f>DCF!Z16*$F$17+DCF!Z29*$G$17+DCF!Z42*$H$17</f>
        <v>102.5926125271906</v>
      </c>
      <c r="P41" s="234">
        <f>DCF!AA16*$F$17+DCF!AA29*$G$17+DCF!AA42*$H$17</f>
        <v>88.013260639187905</v>
      </c>
      <c r="Q41" s="235">
        <f>DCF!AB16*$F$17+DCF!AB29*$G$17+DCF!AB42*$H$17</f>
        <v>77.16970271626974</v>
      </c>
      <c r="R41" s="234">
        <f>DCF!AC16*$F$17+DCF!AC29*$G$17+DCF!AC42*$H$17</f>
        <v>68.842634837414252</v>
      </c>
      <c r="S41" s="234">
        <f>DCF!AD16*$F$17+DCF!AD29*$G$17+DCF!AD42*$H$17</f>
        <v>62.283945005298676</v>
      </c>
      <c r="T41" s="234">
        <f>DCF!AE16*$F$17+DCF!AE29*$G$17+DCF!AE42*$H$17</f>
        <v>57.010123263985733</v>
      </c>
      <c r="U41" s="236">
        <f>DCF!AF16*$F$17+DCF!AF29*$G$17+DCF!AF42*$H$17</f>
        <v>52.695395727592171</v>
      </c>
    </row>
  </sheetData>
  <mergeCells count="3">
    <mergeCell ref="M29:U29"/>
    <mergeCell ref="M31:U31"/>
    <mergeCell ref="K33:K41"/>
  </mergeCells>
  <conditionalFormatting sqref="M33:U41">
    <cfRule type="colorScale" priority="1">
      <colorScale>
        <cfvo type="num" val="$C$9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0F188-FF41-42F7-B450-73AC56FDABC7}">
  <sheetPr codeName="Sheet1">
    <tabColor theme="5" tint="0.79998168889431442"/>
    <pageSetUpPr autoPageBreaks="0"/>
  </sheetPr>
  <dimension ref="B3:CA50"/>
  <sheetViews>
    <sheetView showGridLines="0" zoomScale="80" zoomScaleNormal="80" workbookViewId="0">
      <selection activeCell="C4" sqref="C4"/>
    </sheetView>
  </sheetViews>
  <sheetFormatPr defaultRowHeight="15" x14ac:dyDescent="0.25"/>
  <cols>
    <col min="2" max="2" width="27.28515625" bestFit="1" customWidth="1"/>
    <col min="3" max="3" width="10.7109375" customWidth="1"/>
    <col min="4" max="6" width="12.7109375" customWidth="1"/>
    <col min="7" max="7" width="2.7109375" customWidth="1"/>
    <col min="8" max="12" width="16.7109375" customWidth="1"/>
    <col min="13" max="13" width="2.7109375" customWidth="1"/>
    <col min="14" max="14" width="4.5703125" bestFit="1" customWidth="1"/>
    <col min="24" max="24" width="7.28515625" bestFit="1" customWidth="1"/>
    <col min="25" max="25" width="2.7109375" customWidth="1"/>
    <col min="26" max="30" width="16.7109375" customWidth="1"/>
    <col min="31" max="31" width="10.7109375" customWidth="1"/>
    <col min="32" max="34" width="10.7109375" style="138" customWidth="1"/>
    <col min="35" max="79" width="9.140625" style="138"/>
  </cols>
  <sheetData>
    <row r="3" spans="2:44" ht="24" x14ac:dyDescent="0.4">
      <c r="H3" s="287" t="s">
        <v>69</v>
      </c>
      <c r="I3" s="287"/>
      <c r="J3" s="287"/>
      <c r="K3" s="287"/>
      <c r="L3" s="287"/>
      <c r="N3" s="287" t="s">
        <v>425</v>
      </c>
      <c r="O3" s="287"/>
      <c r="P3" s="287"/>
      <c r="Q3" s="287"/>
      <c r="R3" s="287"/>
      <c r="S3" s="287"/>
      <c r="T3" s="287"/>
      <c r="U3" s="287"/>
      <c r="V3" s="287"/>
      <c r="W3" s="287"/>
      <c r="Y3" s="191"/>
      <c r="Z3" s="287" t="s">
        <v>415</v>
      </c>
      <c r="AA3" s="287"/>
      <c r="AB3" s="287"/>
      <c r="AC3" s="287"/>
      <c r="AD3" s="287"/>
      <c r="AE3" s="191"/>
      <c r="AF3" s="278"/>
      <c r="AG3" s="278"/>
      <c r="AH3" s="278"/>
    </row>
    <row r="4" spans="2:44" x14ac:dyDescent="0.25">
      <c r="B4" s="2" t="s">
        <v>374</v>
      </c>
      <c r="C4" s="193" t="s">
        <v>373</v>
      </c>
      <c r="AM4" s="138" t="str">
        <f>'Scenario Outputs'!D11</f>
        <v>Revenue</v>
      </c>
      <c r="AN4" s="138" t="str">
        <f>'Scenario Outputs'!D16</f>
        <v>Revenue CAGR</v>
      </c>
      <c r="AO4" s="138" t="s">
        <v>519</v>
      </c>
      <c r="AQ4" s="138" t="s">
        <v>412</v>
      </c>
      <c r="AR4" s="138" t="s">
        <v>414</v>
      </c>
    </row>
    <row r="5" spans="2:44" x14ac:dyDescent="0.25">
      <c r="AL5" s="279" cm="1">
        <f t="array" ref="AL5:AL13">TRANSPOSE('Scenario Outputs'!$F$9:$N$9)</f>
        <v>44957</v>
      </c>
      <c r="AM5" s="28" cm="1">
        <f t="array" aca="1" ref="AM5:AM13" ca="1">TRANSPOSE('Scenario Outputs'!$F$11:$N$11)</f>
        <v>1858</v>
      </c>
      <c r="AP5" s="279" cm="1">
        <f t="array" ref="AP5:AP13">TRANSPOSE('Scenario Outputs'!$F$9:$N$9)</f>
        <v>44957</v>
      </c>
      <c r="AQ5" s="28" cm="1">
        <f t="array" aca="1" ref="AQ5:AQ13" ca="1">TRANSPOSE('Scenario Outputs'!$F$26:$N$26)</f>
        <v>-698</v>
      </c>
    </row>
    <row r="6" spans="2:44" x14ac:dyDescent="0.25">
      <c r="B6" s="94" t="s">
        <v>391</v>
      </c>
      <c r="C6" s="94" t="s">
        <v>394</v>
      </c>
      <c r="D6" s="94" t="s">
        <v>371</v>
      </c>
      <c r="E6" s="94" t="s">
        <v>393</v>
      </c>
      <c r="F6" s="94" t="s">
        <v>373</v>
      </c>
      <c r="AL6" s="279">
        <v>45322</v>
      </c>
      <c r="AM6" s="28">
        <f ca="1"/>
        <v>2263</v>
      </c>
      <c r="AN6" s="139" cm="1">
        <f t="array" aca="1" ref="AN6:AN13" ca="1">TRANSPOSE('Scenario Outputs'!$G$16:$N$16)</f>
        <v>0.21797631862217437</v>
      </c>
      <c r="AP6" s="279">
        <v>45322</v>
      </c>
      <c r="AQ6" s="28">
        <f ca="1"/>
        <v>-432</v>
      </c>
      <c r="AR6" s="139" cm="1">
        <f t="array" aca="1" ref="AR6:AR13" ca="1">TRANSPOSE('Scenario Outputs'!$G$31:$N$31)</f>
        <v>-0.38108882521489973</v>
      </c>
    </row>
    <row r="7" spans="2:44" x14ac:dyDescent="0.25">
      <c r="B7" s="8" t="s">
        <v>418</v>
      </c>
      <c r="C7" s="164" cm="1">
        <f t="array" aca="1" ref="C7:F7" ca="1">TRANSPOSE('Scenario Outputs'!$C$16:$C$19)</f>
        <v>0.11220164008418583</v>
      </c>
      <c r="D7" s="166">
        <f ca="1"/>
        <v>8.8581452008871159E-2</v>
      </c>
      <c r="E7" s="168">
        <f ca="1"/>
        <v>7.0933699366201614E-2</v>
      </c>
      <c r="F7" s="170">
        <f ca="1"/>
        <v>0.11220164008418583</v>
      </c>
      <c r="AL7" s="279">
        <v>45688</v>
      </c>
      <c r="AM7" s="28">
        <f ca="1"/>
        <v>2610</v>
      </c>
      <c r="AN7" s="139">
        <f ca="1"/>
        <v>0.15333627927529836</v>
      </c>
      <c r="AP7" s="279">
        <v>45688</v>
      </c>
      <c r="AQ7" s="28">
        <f ca="1"/>
        <v>14</v>
      </c>
      <c r="AR7" s="139">
        <f ca="1"/>
        <v>-1.0324074074074074</v>
      </c>
    </row>
    <row r="8" spans="2:44" x14ac:dyDescent="0.25">
      <c r="B8" s="2" t="s">
        <v>419</v>
      </c>
      <c r="C8" s="164" cm="1">
        <f t="array" aca="1" ref="C8:F8" ca="1">TRANSPOSE('Scenario Outputs'!$C$21:$C$24)</f>
        <v>-0.60300123630502012</v>
      </c>
      <c r="D8" s="166">
        <f ca="1"/>
        <v>-0.6105709306995678</v>
      </c>
      <c r="E8" s="168">
        <f ca="1"/>
        <v>-0.66652318218532147</v>
      </c>
      <c r="F8" s="170">
        <f ca="1"/>
        <v>-0.60300123630502012</v>
      </c>
      <c r="AL8" s="279">
        <v>46053</v>
      </c>
      <c r="AM8" s="28">
        <f ca="1"/>
        <v>2919</v>
      </c>
      <c r="AN8" s="139">
        <f ca="1"/>
        <v>0.11839080459770113</v>
      </c>
      <c r="AO8" s="138">
        <v>0</v>
      </c>
      <c r="AP8" s="279">
        <v>46053</v>
      </c>
      <c r="AQ8" s="28">
        <f ca="1"/>
        <v>245</v>
      </c>
      <c r="AR8" s="139">
        <f ca="1"/>
        <v>16.5</v>
      </c>
    </row>
    <row r="9" spans="2:44" x14ac:dyDescent="0.25">
      <c r="B9" s="2" t="s">
        <v>409</v>
      </c>
      <c r="C9" s="165">
        <v>1129.4592771969999</v>
      </c>
      <c r="D9" s="167"/>
      <c r="E9" s="169"/>
      <c r="F9" s="171"/>
      <c r="AL9" s="279">
        <v>46418</v>
      </c>
      <c r="AM9" s="28">
        <f ca="1"/>
        <v>3236.1157499999999</v>
      </c>
      <c r="AN9" s="139">
        <f ca="1"/>
        <v>0.10863848920863317</v>
      </c>
      <c r="AP9" s="279">
        <v>46418</v>
      </c>
      <c r="AQ9" s="28">
        <f ca="1"/>
        <v>422.9961160754824</v>
      </c>
      <c r="AR9" s="139">
        <f ca="1"/>
        <v>0.72651475949176492</v>
      </c>
    </row>
    <row r="10" spans="2:44" x14ac:dyDescent="0.25">
      <c r="B10" s="2" t="s">
        <v>420</v>
      </c>
      <c r="C10" s="164" cm="1">
        <f t="array" aca="1" ref="C10:F10" ca="1">TRANSPOSE('Scenario Outputs'!$N$31:$N$34)</f>
        <v>0.29006252102703312</v>
      </c>
      <c r="D10" s="166">
        <f ca="1"/>
        <v>0.25938731881990451</v>
      </c>
      <c r="E10" s="168">
        <f ca="1"/>
        <v>0.20386404276058268</v>
      </c>
      <c r="F10" s="170">
        <f ca="1"/>
        <v>0.29006252102703312</v>
      </c>
      <c r="AL10" s="279">
        <v>46783</v>
      </c>
      <c r="AM10" s="28">
        <f ca="1"/>
        <v>3564.4337095500009</v>
      </c>
      <c r="AN10" s="139">
        <f ca="1"/>
        <v>0.10145433133842663</v>
      </c>
      <c r="AP10" s="279">
        <v>46783</v>
      </c>
      <c r="AQ10" s="28">
        <f ca="1"/>
        <v>585.03179707928996</v>
      </c>
      <c r="AR10" s="139">
        <f ca="1"/>
        <v>0.38306659292089762</v>
      </c>
    </row>
    <row r="11" spans="2:44" x14ac:dyDescent="0.25">
      <c r="B11" s="2" t="s">
        <v>429</v>
      </c>
      <c r="C11" s="194" cm="1">
        <f t="array" aca="1" ref="C11:F11" ca="1">TRANSPOSE('Scenario Outputs'!$C$36:$C$39)</f>
        <v>4.5671004041527041</v>
      </c>
      <c r="D11" s="195">
        <f ca="1"/>
        <v>4.1125506919777477</v>
      </c>
      <c r="E11" s="196">
        <f ca="1"/>
        <v>2.6175176809369334</v>
      </c>
      <c r="F11" s="197">
        <f ca="1"/>
        <v>4.5339895220088895</v>
      </c>
      <c r="AL11" s="279">
        <v>47149</v>
      </c>
      <c r="AM11" s="28">
        <f ca="1"/>
        <v>3929.08223232</v>
      </c>
      <c r="AN11" s="139">
        <f ca="1"/>
        <v>0.10230195102044259</v>
      </c>
      <c r="AP11" s="279">
        <v>47149</v>
      </c>
      <c r="AQ11" s="28">
        <f ca="1"/>
        <v>784.39705766824227</v>
      </c>
      <c r="AR11" s="139">
        <f ca="1"/>
        <v>0.34077679467041366</v>
      </c>
    </row>
    <row r="12" spans="2:44" x14ac:dyDescent="0.25">
      <c r="B12" s="2" t="s">
        <v>421</v>
      </c>
      <c r="C12" s="164" cm="1">
        <f t="array" aca="1" ref="C12:F12" ca="1">TRANSPOSE('Scenario Outputs'!$C$46:$C$49)</f>
        <v>0.31447393358227033</v>
      </c>
      <c r="D12" s="166">
        <f ca="1"/>
        <v>0.30485493399574476</v>
      </c>
      <c r="E12" s="168">
        <f ca="1"/>
        <v>0.24249466155363986</v>
      </c>
      <c r="F12" s="170">
        <f ca="1"/>
        <v>0.31274586209761085</v>
      </c>
      <c r="AL12" s="279">
        <v>47514</v>
      </c>
      <c r="AM12" s="28">
        <f ca="1"/>
        <v>4417.5472612991998</v>
      </c>
      <c r="AN12" s="139">
        <f ca="1"/>
        <v>0.12432038834951453</v>
      </c>
      <c r="AP12" s="279">
        <v>47514</v>
      </c>
      <c r="AQ12" s="28">
        <f ca="1"/>
        <v>1033.9349606481924</v>
      </c>
      <c r="AR12" s="139">
        <f ca="1"/>
        <v>0.3181270257715465</v>
      </c>
    </row>
    <row r="13" spans="2:44" x14ac:dyDescent="0.25">
      <c r="AL13" s="279">
        <v>47879</v>
      </c>
      <c r="AM13" s="28">
        <f ca="1"/>
        <v>4966.6176419758076</v>
      </c>
      <c r="AN13" s="139">
        <f ca="1"/>
        <v>0.12429304050391221</v>
      </c>
      <c r="AP13" s="279">
        <v>47879</v>
      </c>
      <c r="AQ13" s="28">
        <f ca="1"/>
        <v>1333.8407419117934</v>
      </c>
      <c r="AR13" s="139">
        <f ca="1"/>
        <v>0.29006252102703312</v>
      </c>
    </row>
    <row r="14" spans="2:44" x14ac:dyDescent="0.25">
      <c r="AL14" s="279"/>
    </row>
    <row r="15" spans="2:44" x14ac:dyDescent="0.25">
      <c r="AL15" s="279"/>
    </row>
    <row r="17" spans="8:43" x14ac:dyDescent="0.25">
      <c r="AM17" s="138" t="str">
        <f>'Scenario Outputs'!D41</f>
        <v>FCF before Buybacks</v>
      </c>
      <c r="AN17" s="138" t="str">
        <f>'Scenario Outputs'!D46</f>
        <v>FCF Margin before Buybacks</v>
      </c>
      <c r="AQ17" s="138" t="str">
        <f>'Scenario Outputs'!D21</f>
        <v>OpEx as % Revenue</v>
      </c>
    </row>
    <row r="18" spans="8:43" x14ac:dyDescent="0.25">
      <c r="AL18" s="279" cm="1">
        <f t="array" ref="AL18:AL26">TRANSPOSE('Scenario Outputs'!$F$9:$N$9)</f>
        <v>44957</v>
      </c>
      <c r="AM18" s="28" cm="1">
        <f t="array" aca="1" ref="AM18:AM26" ca="1">TRANSPOSE('Scenario Outputs'!$F$41:$N$41)</f>
        <v>-2</v>
      </c>
      <c r="AN18" s="139" cm="1">
        <f t="array" aca="1" ref="AN18:AN26" ca="1">TRANSPOSE('Scenario Outputs'!$F$46:$N$46)</f>
        <v>-1.076426264800861E-3</v>
      </c>
      <c r="AP18" s="279" cm="1">
        <f t="array" ref="AP18:AP26">TRANSPOSE('Scenario Outputs'!$F$9:$N$9)</f>
        <v>44957</v>
      </c>
      <c r="AQ18" s="139" cm="1">
        <f t="array" aca="1" ref="AQ18:AQ26" ca="1">TRANSPOSE('Scenario Outputs'!$F$21:$N$21)</f>
        <v>-1.1431646932185144</v>
      </c>
    </row>
    <row r="19" spans="8:43" x14ac:dyDescent="0.25">
      <c r="AL19" s="279">
        <v>45322</v>
      </c>
      <c r="AM19" s="28">
        <f ca="1"/>
        <v>71</v>
      </c>
      <c r="AN19" s="139">
        <f ca="1"/>
        <v>3.1374281926646048E-2</v>
      </c>
      <c r="AP19" s="279">
        <v>45322</v>
      </c>
      <c r="AQ19" s="139">
        <f ca="1"/>
        <v>-0.97127706584180296</v>
      </c>
    </row>
    <row r="20" spans="8:43" x14ac:dyDescent="0.25">
      <c r="AL20" s="279">
        <v>45688</v>
      </c>
      <c r="AM20" s="28">
        <f ca="1"/>
        <v>73</v>
      </c>
      <c r="AN20" s="139">
        <f ca="1"/>
        <v>2.7969348659003832E-2</v>
      </c>
      <c r="AP20" s="279">
        <v>45688</v>
      </c>
      <c r="AQ20" s="139">
        <f ca="1"/>
        <v>-0.79157088122605368</v>
      </c>
    </row>
    <row r="21" spans="8:43" x14ac:dyDescent="0.25">
      <c r="AL21" s="279">
        <v>46053</v>
      </c>
      <c r="AM21" s="28">
        <f ca="1"/>
        <v>522</v>
      </c>
      <c r="AN21" s="139">
        <f ca="1"/>
        <v>0.17882836587872558</v>
      </c>
      <c r="AP21" s="279">
        <v>46053</v>
      </c>
      <c r="AQ21" s="139">
        <f ca="1"/>
        <v>-0.72250770811921894</v>
      </c>
    </row>
    <row r="22" spans="8:43" x14ac:dyDescent="0.25">
      <c r="AL22" s="279">
        <v>46418</v>
      </c>
      <c r="AM22" s="28">
        <f ca="1"/>
        <v>491.87102291655742</v>
      </c>
      <c r="AN22" s="139">
        <f ca="1"/>
        <v>0.15199426130432986</v>
      </c>
      <c r="AP22" s="279">
        <v>46418</v>
      </c>
      <c r="AQ22" s="139">
        <f ca="1"/>
        <v>-0.67874818812986604</v>
      </c>
    </row>
    <row r="23" spans="8:43" ht="24" x14ac:dyDescent="0.4">
      <c r="H23" s="287" t="s">
        <v>412</v>
      </c>
      <c r="I23" s="287"/>
      <c r="J23" s="287"/>
      <c r="K23" s="287"/>
      <c r="L23" s="287"/>
      <c r="N23" s="287" t="s">
        <v>426</v>
      </c>
      <c r="O23" s="287"/>
      <c r="P23" s="287"/>
      <c r="Q23" s="287"/>
      <c r="R23" s="287"/>
      <c r="S23" s="287"/>
      <c r="T23" s="287"/>
      <c r="U23" s="287"/>
      <c r="V23" s="287"/>
      <c r="W23" s="287"/>
      <c r="Z23" s="287" t="s">
        <v>403</v>
      </c>
      <c r="AA23" s="287"/>
      <c r="AB23" s="287"/>
      <c r="AC23" s="287"/>
      <c r="AD23" s="287"/>
      <c r="AL23" s="279">
        <v>46783</v>
      </c>
      <c r="AM23" s="28">
        <f ca="1"/>
        <v>1106.733256520195</v>
      </c>
      <c r="AN23" s="139">
        <f ca="1"/>
        <v>0.3104934322540443</v>
      </c>
      <c r="AP23" s="279">
        <v>46783</v>
      </c>
      <c r="AQ23" s="139">
        <f ca="1"/>
        <v>-0.63914069269295404</v>
      </c>
    </row>
    <row r="24" spans="8:43" ht="15.75" thickBot="1" x14ac:dyDescent="0.3">
      <c r="AL24" s="279">
        <v>47149</v>
      </c>
      <c r="AM24" s="28">
        <f ca="1"/>
        <v>1365.166150064874</v>
      </c>
      <c r="AN24" s="139">
        <f ca="1"/>
        <v>0.34745166157003188</v>
      </c>
      <c r="AP24" s="279">
        <v>47149</v>
      </c>
      <c r="AQ24" s="139">
        <f ca="1"/>
        <v>-0.60193987837790308</v>
      </c>
    </row>
    <row r="25" spans="8:43" x14ac:dyDescent="0.25">
      <c r="N25" s="288" t="s">
        <v>403</v>
      </c>
      <c r="O25" s="172">
        <f>'EBITDA Sensitivity'!I9</f>
        <v>1137.6841714359457</v>
      </c>
      <c r="P25" s="173">
        <f>'EBITDA Sensitivity'!J9</f>
        <v>1229.4924239232212</v>
      </c>
      <c r="Q25" s="173">
        <f>'EBITDA Sensitivity'!K9</f>
        <v>1326.7529019043295</v>
      </c>
      <c r="R25" s="173">
        <f>'EBITDA Sensitivity'!L9</f>
        <v>1429.6773096665495</v>
      </c>
      <c r="S25" s="184">
        <f>'EBITDA Sensitivity'!M9</f>
        <v>1538.4813839597743</v>
      </c>
      <c r="T25" s="173">
        <f>'EBITDA Sensitivity'!N9</f>
        <v>1653.3848939965164</v>
      </c>
      <c r="U25" s="173">
        <f>'EBITDA Sensitivity'!O9</f>
        <v>1774.6116414518976</v>
      </c>
      <c r="V25" s="173">
        <f>'EBITDA Sensitivity'!P9</f>
        <v>1902.3894604636557</v>
      </c>
      <c r="W25" s="174">
        <f>'EBITDA Sensitivity'!Q9</f>
        <v>2036.95021763215</v>
      </c>
      <c r="X25" s="22">
        <f>'EBITDA Sensitivity'!H9</f>
        <v>-0.44149999999999989</v>
      </c>
      <c r="AL25" s="279">
        <v>47514</v>
      </c>
      <c r="AM25" s="28">
        <f ca="1"/>
        <v>1624.2082221866528</v>
      </c>
      <c r="AN25" s="139">
        <f ca="1"/>
        <v>0.36767195145049192</v>
      </c>
      <c r="AP25" s="279">
        <v>47514</v>
      </c>
      <c r="AQ25" s="139">
        <f ca="1"/>
        <v>-0.56482262011428952</v>
      </c>
    </row>
    <row r="26" spans="8:43" ht="15" customHeight="1" x14ac:dyDescent="0.25">
      <c r="N26" s="288"/>
      <c r="O26" s="175">
        <f>'EBITDA Sensitivity'!I10</f>
        <v>1055.2448151318122</v>
      </c>
      <c r="P26" s="176">
        <f>'EBITDA Sensitivity'!J10</f>
        <v>1140.3945661385076</v>
      </c>
      <c r="Q26" s="176">
        <f>'EBITDA Sensitivity'!K10</f>
        <v>1230.6011135731335</v>
      </c>
      <c r="R26" s="176">
        <f>'EBITDA Sensitivity'!L10</f>
        <v>1326.0608076205644</v>
      </c>
      <c r="S26" s="181">
        <f>'EBITDA Sensitivity'!M10</f>
        <v>1426.9737384691955</v>
      </c>
      <c r="T26" s="176">
        <f>'EBITDA Sensitivity'!N10</f>
        <v>1533.5437363109459</v>
      </c>
      <c r="U26" s="176">
        <f>'EBITDA Sensitivity'!O10</f>
        <v>1645.9783713412548</v>
      </c>
      <c r="V26" s="176">
        <f>'EBITDA Sensitivity'!P10</f>
        <v>1764.4889537590807</v>
      </c>
      <c r="W26" s="177">
        <f>'EBITDA Sensitivity'!Q10</f>
        <v>1889.2905337669088</v>
      </c>
      <c r="X26" s="22">
        <f>'EBITDA Sensitivity'!H10</f>
        <v>-0.46649999999999991</v>
      </c>
      <c r="AL26" s="279">
        <v>47879</v>
      </c>
      <c r="AM26" s="28">
        <f ca="1"/>
        <v>1960.6138417112243</v>
      </c>
      <c r="AN26" s="139">
        <f ca="1"/>
        <v>0.39475836133245357</v>
      </c>
      <c r="AP26" s="279">
        <v>47879</v>
      </c>
      <c r="AQ26" s="139">
        <f ca="1"/>
        <v>-0.53035480221008802</v>
      </c>
    </row>
    <row r="27" spans="8:43" x14ac:dyDescent="0.25">
      <c r="N27" s="288"/>
      <c r="O27" s="175">
        <f>'EBITDA Sensitivity'!I11</f>
        <v>972.80545882767842</v>
      </c>
      <c r="P27" s="176">
        <f>'EBITDA Sensitivity'!J11</f>
        <v>1051.2967083537935</v>
      </c>
      <c r="Q27" s="176">
        <f>'EBITDA Sensitivity'!K11</f>
        <v>1134.4493252419372</v>
      </c>
      <c r="R27" s="176">
        <f>'EBITDA Sensitivity'!L11</f>
        <v>1222.4443055745789</v>
      </c>
      <c r="S27" s="181">
        <f>'EBITDA Sensitivity'!M11</f>
        <v>1315.466092978616</v>
      </c>
      <c r="T27" s="176">
        <f>'EBITDA Sensitivity'!N11</f>
        <v>1413.7025786253764</v>
      </c>
      <c r="U27" s="176">
        <f>'EBITDA Sensitivity'!O11</f>
        <v>1517.3451012306118</v>
      </c>
      <c r="V27" s="176">
        <f>'EBITDA Sensitivity'!P11</f>
        <v>1626.5884470545045</v>
      </c>
      <c r="W27" s="177">
        <f>'EBITDA Sensitivity'!Q11</f>
        <v>1741.6308499016679</v>
      </c>
      <c r="X27" s="22">
        <f>'EBITDA Sensitivity'!H11</f>
        <v>-0.49149999999999994</v>
      </c>
    </row>
    <row r="28" spans="8:43" x14ac:dyDescent="0.25">
      <c r="N28" s="288"/>
      <c r="O28" s="175">
        <f>'EBITDA Sensitivity'!I12</f>
        <v>890.36610252354535</v>
      </c>
      <c r="P28" s="176">
        <f>'EBITDA Sensitivity'!J12</f>
        <v>962.19885056908015</v>
      </c>
      <c r="Q28" s="176">
        <f>'EBITDA Sensitivity'!K12</f>
        <v>1038.2975369107414</v>
      </c>
      <c r="R28" s="176">
        <f>'EBITDA Sensitivity'!L12</f>
        <v>1118.8278035285941</v>
      </c>
      <c r="S28" s="181">
        <f>'EBITDA Sensitivity'!M12</f>
        <v>1203.9584474880369</v>
      </c>
      <c r="T28" s="176">
        <f>'EBITDA Sensitivity'!N12</f>
        <v>1293.8614209398063</v>
      </c>
      <c r="U28" s="176">
        <f>'EBITDA Sensitivity'!O12</f>
        <v>1388.7118311199695</v>
      </c>
      <c r="V28" s="176">
        <f>'EBITDA Sensitivity'!P12</f>
        <v>1488.6879403499297</v>
      </c>
      <c r="W28" s="177">
        <f>'EBITDA Sensitivity'!Q12</f>
        <v>1593.971166036428</v>
      </c>
      <c r="X28" s="22">
        <f>'EBITDA Sensitivity'!H12</f>
        <v>-0.51649999999999996</v>
      </c>
    </row>
    <row r="29" spans="8:43" x14ac:dyDescent="0.25">
      <c r="N29" s="288"/>
      <c r="O29" s="182">
        <f>'EBITDA Sensitivity'!I13</f>
        <v>807.92674621941148</v>
      </c>
      <c r="P29" s="181">
        <f>'EBITDA Sensitivity'!J13</f>
        <v>873.10099278436621</v>
      </c>
      <c r="Q29" s="181">
        <f>'EBITDA Sensitivity'!K13</f>
        <v>942.14574857954563</v>
      </c>
      <c r="R29" s="181">
        <f>'EBITDA Sensitivity'!L13</f>
        <v>1015.2113014826089</v>
      </c>
      <c r="S29" s="181">
        <f>'EBITDA Sensitivity'!M13</f>
        <v>1092.4508019974578</v>
      </c>
      <c r="T29" s="181">
        <f>'EBITDA Sensitivity'!N13</f>
        <v>1174.0202632542357</v>
      </c>
      <c r="U29" s="181">
        <f>'EBITDA Sensitivity'!O13</f>
        <v>1260.0785610093269</v>
      </c>
      <c r="V29" s="181">
        <f>'EBITDA Sensitivity'!P13</f>
        <v>1350.7874336453544</v>
      </c>
      <c r="W29" s="183">
        <f>'EBITDA Sensitivity'!Q13</f>
        <v>1446.3114821711868</v>
      </c>
      <c r="X29" s="81">
        <f>'EBITDA Sensitivity'!H13</f>
        <v>-0.54149999999999998</v>
      </c>
    </row>
    <row r="30" spans="8:43" x14ac:dyDescent="0.25">
      <c r="N30" s="288"/>
      <c r="O30" s="175">
        <f>'EBITDA Sensitivity'!I14</f>
        <v>725.48738991527807</v>
      </c>
      <c r="P30" s="176">
        <f>'EBITDA Sensitivity'!J14</f>
        <v>784.0031349996525</v>
      </c>
      <c r="Q30" s="176">
        <f>'EBITDA Sensitivity'!K14</f>
        <v>845.99396024834948</v>
      </c>
      <c r="R30" s="176">
        <f>'EBITDA Sensitivity'!L14</f>
        <v>911.59479943662393</v>
      </c>
      <c r="S30" s="181">
        <f>'EBITDA Sensitivity'!M14</f>
        <v>980.94315650687849</v>
      </c>
      <c r="T30" s="176">
        <f>'EBITDA Sensitivity'!N14</f>
        <v>1054.179105568666</v>
      </c>
      <c r="U30" s="176">
        <f>'EBITDA Sensitivity'!O14</f>
        <v>1131.4452908986841</v>
      </c>
      <c r="V30" s="176">
        <f>'EBITDA Sensitivity'!P14</f>
        <v>1212.8869269407789</v>
      </c>
      <c r="W30" s="177">
        <f>'EBITDA Sensitivity'!Q14</f>
        <v>1298.6517983059455</v>
      </c>
      <c r="X30" s="22">
        <f>'EBITDA Sensitivity'!H14</f>
        <v>-0.5665</v>
      </c>
      <c r="AM30" s="138" t="s">
        <v>415</v>
      </c>
      <c r="AN30" s="138" t="s">
        <v>428</v>
      </c>
      <c r="AO30" s="138" t="s">
        <v>427</v>
      </c>
    </row>
    <row r="31" spans="8:43" x14ac:dyDescent="0.25">
      <c r="N31" s="288"/>
      <c r="O31" s="175">
        <f>'EBITDA Sensitivity'!I15</f>
        <v>643.048033611145</v>
      </c>
      <c r="P31" s="176">
        <f>'EBITDA Sensitivity'!J15</f>
        <v>694.90527721493868</v>
      </c>
      <c r="Q31" s="176">
        <f>'EBITDA Sensitivity'!K15</f>
        <v>749.842171917153</v>
      </c>
      <c r="R31" s="176">
        <f>'EBITDA Sensitivity'!L15</f>
        <v>807.97829739063855</v>
      </c>
      <c r="S31" s="181">
        <f>'EBITDA Sensitivity'!M15</f>
        <v>869.43551101629942</v>
      </c>
      <c r="T31" s="176">
        <f>'EBITDA Sensitivity'!N15</f>
        <v>934.33794788309604</v>
      </c>
      <c r="U31" s="176">
        <f>'EBITDA Sensitivity'!O15</f>
        <v>1002.8120207880411</v>
      </c>
      <c r="V31" s="176">
        <f>'EBITDA Sensitivity'!P15</f>
        <v>1074.9864202362032</v>
      </c>
      <c r="W31" s="177">
        <f>'EBITDA Sensitivity'!Q15</f>
        <v>1150.9921144407051</v>
      </c>
      <c r="X31" s="22">
        <f>'EBITDA Sensitivity'!H15</f>
        <v>-0.59150000000000003</v>
      </c>
      <c r="AL31" s="279" cm="1">
        <f t="array" ref="AL31:AL39">TRANSPOSE('Scenario Outputs'!$F$9:$N$9)</f>
        <v>44957</v>
      </c>
      <c r="AM31" s="280" cm="1">
        <f t="array" aca="1" ref="AM31:AM39" ca="1">TRANSPOSE('Scenario Outputs'!$F$36:$N$36)</f>
        <v>-5.16</v>
      </c>
      <c r="AN31" s="138">
        <f t="shared" ref="AN31:AN39" ca="1" si="0">IF($AM31&lt;0,$AM31,NA())</f>
        <v>-5.16</v>
      </c>
      <c r="AO31" s="138" t="e">
        <f t="shared" ref="AO31:AO39" ca="1" si="1">IF($AM31&gt;=0,$AM31,NA())</f>
        <v>#N/A</v>
      </c>
    </row>
    <row r="32" spans="8:43" x14ac:dyDescent="0.25">
      <c r="N32" s="288"/>
      <c r="O32" s="175">
        <f>'EBITDA Sensitivity'!I16</f>
        <v>560.60867730701113</v>
      </c>
      <c r="P32" s="176">
        <f>'EBITDA Sensitivity'!J16</f>
        <v>605.80741943022497</v>
      </c>
      <c r="Q32" s="176">
        <f>'EBITDA Sensitivity'!K16</f>
        <v>653.69038358595742</v>
      </c>
      <c r="R32" s="176">
        <f>'EBITDA Sensitivity'!L16</f>
        <v>704.36179534465373</v>
      </c>
      <c r="S32" s="181">
        <f>'EBITDA Sensitivity'!M16</f>
        <v>757.92786552572022</v>
      </c>
      <c r="T32" s="176">
        <f>'EBITDA Sensitivity'!N16</f>
        <v>814.49679019752591</v>
      </c>
      <c r="U32" s="176">
        <f>'EBITDA Sensitivity'!O16</f>
        <v>874.17875067739908</v>
      </c>
      <c r="V32" s="176">
        <f>'EBITDA Sensitivity'!P16</f>
        <v>937.08591353162751</v>
      </c>
      <c r="W32" s="177">
        <f>'EBITDA Sensitivity'!Q16</f>
        <v>1003.3324305754643</v>
      </c>
      <c r="X32" s="22">
        <f>'EBITDA Sensitivity'!H16</f>
        <v>-0.61650000000000005</v>
      </c>
      <c r="AL32" s="279">
        <v>45322</v>
      </c>
      <c r="AM32" s="138">
        <f ca="1"/>
        <v>-2.17</v>
      </c>
      <c r="AN32" s="138">
        <f t="shared" ca="1" si="0"/>
        <v>-2.17</v>
      </c>
      <c r="AO32" s="138" t="e">
        <f t="shared" ca="1" si="1"/>
        <v>#N/A</v>
      </c>
    </row>
    <row r="33" spans="7:41" ht="15.75" thickBot="1" x14ac:dyDescent="0.3">
      <c r="N33" s="288"/>
      <c r="O33" s="178">
        <f>'EBITDA Sensitivity'!I17</f>
        <v>478.16932100287733</v>
      </c>
      <c r="P33" s="179">
        <f>'EBITDA Sensitivity'!J17</f>
        <v>516.70956164551126</v>
      </c>
      <c r="Q33" s="179">
        <f>'EBITDA Sensitivity'!K17</f>
        <v>557.53859525476139</v>
      </c>
      <c r="R33" s="179">
        <f>'EBITDA Sensitivity'!L17</f>
        <v>600.7452932986688</v>
      </c>
      <c r="S33" s="185">
        <f>'EBITDA Sensitivity'!M17</f>
        <v>646.42022003514148</v>
      </c>
      <c r="T33" s="179">
        <f>'EBITDA Sensitivity'!N17</f>
        <v>694.6556325119559</v>
      </c>
      <c r="U33" s="179">
        <f>'EBITDA Sensitivity'!O17</f>
        <v>745.54548056675571</v>
      </c>
      <c r="V33" s="179">
        <f>'EBITDA Sensitivity'!P17</f>
        <v>799.18540682705236</v>
      </c>
      <c r="W33" s="180">
        <f>'EBITDA Sensitivity'!Q17</f>
        <v>855.67274671022301</v>
      </c>
      <c r="X33" s="22">
        <f>'EBITDA Sensitivity'!H17</f>
        <v>-0.64150000000000007</v>
      </c>
      <c r="AL33" s="279">
        <v>45688</v>
      </c>
      <c r="AM33" s="138">
        <f ca="1"/>
        <v>0.16</v>
      </c>
      <c r="AN33" s="138" t="e">
        <f t="shared" ca="1" si="0"/>
        <v>#N/A</v>
      </c>
      <c r="AO33" s="138">
        <f t="shared" ca="1" si="1"/>
        <v>0.16</v>
      </c>
    </row>
    <row r="34" spans="7:41" x14ac:dyDescent="0.25">
      <c r="N34" s="199"/>
      <c r="O34" s="22">
        <f>'EBITDA Sensitivity'!I8</f>
        <v>1.9999999999999993E-2</v>
      </c>
      <c r="P34" s="22">
        <f>'EBITDA Sensitivity'!J8</f>
        <v>3.9999999999999994E-2</v>
      </c>
      <c r="Q34" s="22">
        <f>'EBITDA Sensitivity'!K8</f>
        <v>0.06</v>
      </c>
      <c r="R34" s="22">
        <f>'EBITDA Sensitivity'!L8</f>
        <v>0.08</v>
      </c>
      <c r="S34" s="81">
        <f>'EBITDA Sensitivity'!M8</f>
        <v>0.1</v>
      </c>
      <c r="T34" s="22">
        <f>'EBITDA Sensitivity'!N8</f>
        <v>0.12000000000000001</v>
      </c>
      <c r="U34" s="22">
        <f>'EBITDA Sensitivity'!O8</f>
        <v>0.14000000000000001</v>
      </c>
      <c r="V34" s="22">
        <f>'EBITDA Sensitivity'!P8</f>
        <v>0.16</v>
      </c>
      <c r="W34" s="22">
        <f>'EBITDA Sensitivity'!Q8</f>
        <v>0.18</v>
      </c>
      <c r="AL34" s="279">
        <v>46053</v>
      </c>
      <c r="AM34" s="138">
        <f ca="1"/>
        <v>1.33</v>
      </c>
      <c r="AN34" s="138" t="e">
        <f t="shared" ca="1" si="0"/>
        <v>#N/A</v>
      </c>
      <c r="AO34" s="138">
        <f t="shared" ca="1" si="1"/>
        <v>1.33</v>
      </c>
    </row>
    <row r="35" spans="7:41" x14ac:dyDescent="0.25">
      <c r="O35" s="285" t="s">
        <v>401</v>
      </c>
      <c r="P35" s="285"/>
      <c r="Q35" s="285"/>
      <c r="R35" s="285"/>
      <c r="S35" s="285"/>
      <c r="T35" s="285"/>
      <c r="U35" s="285"/>
      <c r="V35" s="285"/>
      <c r="W35" s="285"/>
      <c r="AL35" s="279">
        <v>46418</v>
      </c>
      <c r="AM35" s="138">
        <f ca="1"/>
        <v>2.591165579832726</v>
      </c>
      <c r="AN35" s="138" t="e">
        <f t="shared" ca="1" si="0"/>
        <v>#N/A</v>
      </c>
      <c r="AO35" s="138">
        <f t="shared" ca="1" si="1"/>
        <v>2.591165579832726</v>
      </c>
    </row>
    <row r="36" spans="7:41" x14ac:dyDescent="0.25">
      <c r="AL36" s="279">
        <v>46783</v>
      </c>
      <c r="AM36" s="138">
        <f ca="1"/>
        <v>3.409077427451376</v>
      </c>
      <c r="AN36" s="138" t="e">
        <f t="shared" ca="1" si="0"/>
        <v>#N/A</v>
      </c>
      <c r="AO36" s="138">
        <f t="shared" ca="1" si="1"/>
        <v>3.409077427451376</v>
      </c>
    </row>
    <row r="37" spans="7:41" x14ac:dyDescent="0.25">
      <c r="AL37" s="279">
        <v>47149</v>
      </c>
      <c r="AM37" s="138">
        <f ca="1"/>
        <v>4.3666196858515693</v>
      </c>
      <c r="AN37" s="138" t="e">
        <f t="shared" ca="1" si="0"/>
        <v>#N/A</v>
      </c>
      <c r="AO37" s="138">
        <f t="shared" ca="1" si="1"/>
        <v>4.3666196858515693</v>
      </c>
    </row>
    <row r="38" spans="7:41" x14ac:dyDescent="0.25">
      <c r="AL38" s="279">
        <v>47514</v>
      </c>
      <c r="AM38" s="138">
        <f ca="1"/>
        <v>5.5711059467725583</v>
      </c>
      <c r="AN38" s="138" t="e">
        <f t="shared" ca="1" si="0"/>
        <v>#N/A</v>
      </c>
      <c r="AO38" s="138">
        <f t="shared" ca="1" si="1"/>
        <v>5.5711059467725583</v>
      </c>
    </row>
    <row r="39" spans="7:41" x14ac:dyDescent="0.25">
      <c r="AL39" s="279">
        <v>47879</v>
      </c>
      <c r="AM39" s="138">
        <f ca="1"/>
        <v>6.8975333808552923</v>
      </c>
      <c r="AN39" s="138" t="e">
        <f t="shared" ca="1" si="0"/>
        <v>#N/A</v>
      </c>
      <c r="AO39" s="138">
        <f t="shared" ca="1" si="1"/>
        <v>6.8975333808552923</v>
      </c>
    </row>
    <row r="40" spans="7:41" ht="15" customHeight="1" x14ac:dyDescent="0.25"/>
    <row r="41" spans="7:41" ht="15" customHeight="1" x14ac:dyDescent="0.25"/>
    <row r="42" spans="7:41" ht="15" customHeight="1" x14ac:dyDescent="0.4">
      <c r="O42" s="191"/>
      <c r="P42" s="191"/>
      <c r="Q42" s="191"/>
      <c r="R42" s="191"/>
      <c r="S42" s="191"/>
    </row>
    <row r="44" spans="7:41" x14ac:dyDescent="0.25">
      <c r="G44" s="19"/>
    </row>
    <row r="46" spans="7:41" x14ac:dyDescent="0.25">
      <c r="G46" s="26"/>
    </row>
    <row r="50" ht="15" customHeight="1" x14ac:dyDescent="0.25"/>
  </sheetData>
  <mergeCells count="8">
    <mergeCell ref="O35:W35"/>
    <mergeCell ref="N23:W23"/>
    <mergeCell ref="N25:N33"/>
    <mergeCell ref="H3:L3"/>
    <mergeCell ref="N3:W3"/>
    <mergeCell ref="H23:L23"/>
    <mergeCell ref="Z3:AD3"/>
    <mergeCell ref="Z23:AD23"/>
  </mergeCells>
  <conditionalFormatting sqref="O25:W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4" xr:uid="{2C256ECD-0C7E-4BC9-AD93-CBD85E5C0FA0}">
      <formula1>Scenarios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72DF8-B953-49CE-8819-257B4859E6A9}">
  <sheetPr codeName="Sheet4">
    <tabColor theme="5" tint="0.79998168889431442"/>
  </sheetPr>
  <dimension ref="B3:K121"/>
  <sheetViews>
    <sheetView showGridLines="0" zoomScale="80" zoomScaleNormal="80" workbookViewId="0">
      <selection activeCell="E27" sqref="E27"/>
    </sheetView>
  </sheetViews>
  <sheetFormatPr defaultRowHeight="15" x14ac:dyDescent="0.25"/>
  <cols>
    <col min="1" max="1" width="2.7109375" customWidth="1"/>
    <col min="2" max="2" width="47.7109375" bestFit="1" customWidth="1"/>
    <col min="3" max="5" width="13.140625" customWidth="1"/>
    <col min="6" max="6" width="11.28515625" customWidth="1"/>
    <col min="7" max="9" width="14.28515625" bestFit="1" customWidth="1"/>
    <col min="10" max="11" width="13.140625" bestFit="1" customWidth="1"/>
  </cols>
  <sheetData>
    <row r="3" spans="2:11" x14ac:dyDescent="0.25">
      <c r="C3" s="35" t="s">
        <v>82</v>
      </c>
    </row>
    <row r="4" spans="2:11" x14ac:dyDescent="0.25">
      <c r="B4" s="17" t="s">
        <v>17</v>
      </c>
      <c r="C4" s="129">
        <v>44957</v>
      </c>
      <c r="D4" s="129">
        <f t="shared" ref="D4:K4" si="0">EOMONTH(C4,12)</f>
        <v>45322</v>
      </c>
      <c r="E4" s="129">
        <f t="shared" si="0"/>
        <v>45688</v>
      </c>
      <c r="F4" s="129">
        <f t="shared" si="0"/>
        <v>46053</v>
      </c>
      <c r="G4" s="130">
        <f t="shared" si="0"/>
        <v>46418</v>
      </c>
      <c r="H4" s="130">
        <f t="shared" si="0"/>
        <v>46783</v>
      </c>
      <c r="I4" s="130">
        <f t="shared" si="0"/>
        <v>47149</v>
      </c>
      <c r="J4" s="130">
        <f t="shared" si="0"/>
        <v>47514</v>
      </c>
      <c r="K4" s="130">
        <f t="shared" si="0"/>
        <v>47879</v>
      </c>
    </row>
    <row r="5" spans="2:11" x14ac:dyDescent="0.25">
      <c r="C5" s="21"/>
      <c r="D5" s="21"/>
      <c r="E5" s="21"/>
      <c r="F5" s="21"/>
      <c r="G5" s="21"/>
      <c r="H5" s="21"/>
      <c r="I5" s="21"/>
      <c r="J5" s="21"/>
      <c r="K5" s="21"/>
    </row>
    <row r="6" spans="2:11" x14ac:dyDescent="0.25">
      <c r="B6" s="2" t="s">
        <v>0</v>
      </c>
    </row>
    <row r="7" spans="2:11" x14ac:dyDescent="0.25">
      <c r="B7" s="2" t="s">
        <v>19</v>
      </c>
    </row>
    <row r="8" spans="2:11" x14ac:dyDescent="0.25">
      <c r="B8" s="3" t="s">
        <v>41</v>
      </c>
      <c r="C8" s="43">
        <f>INCOME_STATEMENT!C4</f>
        <v>1794</v>
      </c>
      <c r="D8" s="43">
        <f>INCOME_STATEMENT!D4</f>
        <v>2205</v>
      </c>
      <c r="E8" s="43">
        <f>INCOME_STATEMENT!E4</f>
        <v>2556</v>
      </c>
      <c r="F8" s="43">
        <f>INCOME_STATEMENT!F4</f>
        <v>2855</v>
      </c>
      <c r="G8" s="11">
        <f ca="1">'Income Statement Drivers'!G21</f>
        <v>3204.0749999999998</v>
      </c>
      <c r="H8" s="11">
        <f ca="1">'Income Statement Drivers'!H21</f>
        <v>3532.6399500000007</v>
      </c>
      <c r="I8" s="11">
        <f ca="1">'Income Statement Drivers'!I21</f>
        <v>3897.8990399999998</v>
      </c>
      <c r="J8" s="11">
        <f ca="1">'Income Statement Drivers'!J21</f>
        <v>4386.8393856000002</v>
      </c>
      <c r="K8" s="11">
        <f ca="1">'Income Statement Drivers'!K21</f>
        <v>4936.9956679679999</v>
      </c>
    </row>
    <row r="9" spans="2:11" x14ac:dyDescent="0.25">
      <c r="B9" s="3" t="s">
        <v>42</v>
      </c>
      <c r="C9" s="43">
        <f>INCOME_STATEMENT!C5</f>
        <v>64</v>
      </c>
      <c r="D9" s="43">
        <f>INCOME_STATEMENT!D5</f>
        <v>58</v>
      </c>
      <c r="E9" s="43">
        <f>INCOME_STATEMENT!E5</f>
        <v>54</v>
      </c>
      <c r="F9" s="43">
        <f>INCOME_STATEMENT!F5</f>
        <v>64</v>
      </c>
      <c r="G9" s="11">
        <f ca="1">'Income Statement Drivers'!G24</f>
        <v>32.040749999999996</v>
      </c>
      <c r="H9" s="11">
        <f ca="1">'Income Statement Drivers'!H24</f>
        <v>31.793759550000011</v>
      </c>
      <c r="I9" s="11">
        <f ca="1">'Income Statement Drivers'!I24</f>
        <v>31.18319232</v>
      </c>
      <c r="J9" s="11">
        <f ca="1">'Income Statement Drivers'!J24</f>
        <v>30.707875699200002</v>
      </c>
      <c r="K9" s="11">
        <f ca="1">'Income Statement Drivers'!K24</f>
        <v>29.621974007807999</v>
      </c>
    </row>
    <row r="10" spans="2:11" x14ac:dyDescent="0.25">
      <c r="B10" s="8" t="s">
        <v>20</v>
      </c>
      <c r="C10" s="44">
        <f>SUM(C8:C9)</f>
        <v>1858</v>
      </c>
      <c r="D10" s="44">
        <f>SUM(D8:D9)</f>
        <v>2263</v>
      </c>
      <c r="E10" s="44">
        <f>SUM(E8:E9)</f>
        <v>2610</v>
      </c>
      <c r="F10" s="44">
        <f>SUM(F8:F9)</f>
        <v>2919</v>
      </c>
      <c r="G10" s="14">
        <f ca="1">G8+G9</f>
        <v>3236.1157499999999</v>
      </c>
      <c r="H10" s="14">
        <f t="shared" ref="H10:J10" ca="1" si="1">H8+H9</f>
        <v>3564.4337095500009</v>
      </c>
      <c r="I10" s="14">
        <f t="shared" ca="1" si="1"/>
        <v>3929.08223232</v>
      </c>
      <c r="J10" s="14">
        <f t="shared" ca="1" si="1"/>
        <v>4417.5472612991998</v>
      </c>
      <c r="K10" s="14">
        <f t="shared" ref="K10" ca="1" si="2">K8+K9</f>
        <v>4966.6176419758076</v>
      </c>
    </row>
    <row r="12" spans="2:11" x14ac:dyDescent="0.25">
      <c r="B12" s="8" t="s">
        <v>43</v>
      </c>
    </row>
    <row r="13" spans="2:11" x14ac:dyDescent="0.25">
      <c r="B13" s="3" t="s">
        <v>41</v>
      </c>
      <c r="C13" s="43">
        <f>-INCOME_STATEMENT!C9</f>
        <v>-464</v>
      </c>
      <c r="D13" s="43">
        <f>-INCOME_STATEMENT!D9</f>
        <v>-502</v>
      </c>
      <c r="E13" s="43">
        <f>-INCOME_STATEMENT!E9</f>
        <v>-549</v>
      </c>
      <c r="F13" s="43">
        <f>-INCOME_STATEMENT!F9</f>
        <v>-578</v>
      </c>
      <c r="G13" s="11">
        <f ca="1">G8*'Income Statement Drivers'!G34</f>
        <v>-640.81500000000005</v>
      </c>
      <c r="H13" s="11">
        <f ca="1">H8*'Income Statement Drivers'!H34</f>
        <v>-706.52799000000016</v>
      </c>
      <c r="I13" s="11">
        <f ca="1">I8*'Income Statement Drivers'!I34</f>
        <v>-779.57980799999996</v>
      </c>
      <c r="J13" s="11">
        <f ca="1">J8*'Income Statement Drivers'!J34</f>
        <v>-877.36787712000012</v>
      </c>
      <c r="K13" s="11">
        <f ca="1">K8*'Income Statement Drivers'!K34</f>
        <v>-987.39913359360003</v>
      </c>
    </row>
    <row r="14" spans="2:11" x14ac:dyDescent="0.25">
      <c r="B14" s="6" t="s">
        <v>42</v>
      </c>
      <c r="C14" s="42">
        <f>-INCOME_STATEMENT!C10</f>
        <v>-82</v>
      </c>
      <c r="D14" s="42">
        <f>-INCOME_STATEMENT!D10</f>
        <v>-79</v>
      </c>
      <c r="E14" s="42">
        <f>-INCOME_STATEMENT!E10</f>
        <v>-69</v>
      </c>
      <c r="F14" s="42">
        <f>-INCOME_STATEMENT!F10</f>
        <v>-83</v>
      </c>
      <c r="G14" s="12">
        <f ca="1">G9*'Income Statement Drivers'!G37</f>
        <v>-41.796932033494961</v>
      </c>
      <c r="H14" s="12">
        <f ca="1">H9*'Income Statement Drivers'!H37</f>
        <v>-41.474734736254049</v>
      </c>
      <c r="I14" s="12">
        <f ca="1">I9*'Income Statement Drivers'!I37</f>
        <v>-40.678254097873563</v>
      </c>
      <c r="J14" s="12">
        <f ca="1">J9*'Income Statement Drivers'!J37</f>
        <v>-40.058206923760345</v>
      </c>
      <c r="K14" s="12">
        <f ca="1">K9*'Income Statement Drivers'!K37</f>
        <v>-38.641655838340412</v>
      </c>
    </row>
    <row r="15" spans="2:11" x14ac:dyDescent="0.25">
      <c r="B15" s="8" t="s">
        <v>21</v>
      </c>
      <c r="C15" s="47">
        <f>SUM(C13:C14)</f>
        <v>-546</v>
      </c>
      <c r="D15" s="47">
        <f>SUM(D13:D14)</f>
        <v>-581</v>
      </c>
      <c r="E15" s="47">
        <f>SUM(E13:E14)</f>
        <v>-618</v>
      </c>
      <c r="F15" s="47">
        <f>SUM(F13:F14)</f>
        <v>-661</v>
      </c>
      <c r="G15" s="13">
        <f t="shared" ref="G15:J15" ca="1" si="3">SUM(G13:G14)</f>
        <v>-682.61193203349501</v>
      </c>
      <c r="H15" s="13">
        <f t="shared" ca="1" si="3"/>
        <v>-748.00272473625421</v>
      </c>
      <c r="I15" s="13">
        <f t="shared" ca="1" si="3"/>
        <v>-820.25806209787356</v>
      </c>
      <c r="J15" s="13">
        <f t="shared" ca="1" si="3"/>
        <v>-917.42608404376051</v>
      </c>
      <c r="K15" s="13">
        <f t="shared" ref="K15" ca="1" si="4">SUM(K13:K14)</f>
        <v>-1026.0407894319405</v>
      </c>
    </row>
    <row r="17" spans="2:11" x14ac:dyDescent="0.25">
      <c r="B17" s="8" t="s">
        <v>44</v>
      </c>
      <c r="C17" s="44">
        <f t="shared" ref="C17:J17" si="5">C10+C15</f>
        <v>1312</v>
      </c>
      <c r="D17" s="44">
        <f t="shared" si="5"/>
        <v>1682</v>
      </c>
      <c r="E17" s="44">
        <f t="shared" si="5"/>
        <v>1992</v>
      </c>
      <c r="F17" s="44">
        <f t="shared" si="5"/>
        <v>2258</v>
      </c>
      <c r="G17" s="14">
        <f t="shared" ca="1" si="5"/>
        <v>2553.5038179665048</v>
      </c>
      <c r="H17" s="14">
        <f t="shared" ca="1" si="5"/>
        <v>2816.4309848137468</v>
      </c>
      <c r="I17" s="14">
        <f t="shared" ca="1" si="5"/>
        <v>3108.8241702221267</v>
      </c>
      <c r="J17" s="14">
        <f t="shared" ca="1" si="5"/>
        <v>3500.1211772554393</v>
      </c>
      <c r="K17" s="14">
        <f t="shared" ref="K17" ca="1" si="6">K10+K15</f>
        <v>3940.5768525438671</v>
      </c>
    </row>
    <row r="19" spans="2:11" x14ac:dyDescent="0.25">
      <c r="B19" s="2" t="s">
        <v>45</v>
      </c>
    </row>
    <row r="20" spans="2:11" x14ac:dyDescent="0.25">
      <c r="B20" s="3" t="s">
        <v>40</v>
      </c>
      <c r="C20" s="43">
        <f>-INCOME_STATEMENT!C16</f>
        <v>-620</v>
      </c>
      <c r="D20" s="43">
        <f>-INCOME_STATEMENT!D16</f>
        <v>-656</v>
      </c>
      <c r="E20" s="43">
        <f>-INCOME_STATEMENT!E16</f>
        <v>-642</v>
      </c>
      <c r="F20" s="43">
        <f>-INCOME_STATEMENT!F16</f>
        <v>-639</v>
      </c>
      <c r="G20" s="11">
        <f ca="1">'Income Statement Drivers'!G48</f>
        <v>-672.99899487410062</v>
      </c>
      <c r="H20" s="11">
        <f ca="1">'Income Statement Drivers'!H48</f>
        <v>-704.21377499596144</v>
      </c>
      <c r="I20" s="11">
        <f ca="1">'Income Statement Drivers'!I48</f>
        <v>-737.44340720784339</v>
      </c>
      <c r="J20" s="11">
        <f ca="1">'Income Statement Drivers'!J48</f>
        <v>-787.66652507882611</v>
      </c>
      <c r="K20" s="11">
        <f ca="1">'Income Statement Drivers'!K48</f>
        <v>-841.28959276482317</v>
      </c>
    </row>
    <row r="21" spans="2:11" x14ac:dyDescent="0.25">
      <c r="B21" s="3" t="s">
        <v>39</v>
      </c>
      <c r="C21" s="43">
        <f>-INCOME_STATEMENT!C17</f>
        <v>-1066</v>
      </c>
      <c r="D21" s="43">
        <f>-INCOME_STATEMENT!D17</f>
        <v>-1036</v>
      </c>
      <c r="E21" s="43">
        <f>-INCOME_STATEMENT!E17</f>
        <v>-965</v>
      </c>
      <c r="F21" s="43">
        <f>-INCOME_STATEMENT!F17</f>
        <v>-1018</v>
      </c>
      <c r="G21" s="11">
        <f ca="1">'Income Statement Drivers'!G53</f>
        <v>-1072.164282913669</v>
      </c>
      <c r="H21" s="11">
        <f ca="1">'Income Statement Drivers'!H53</f>
        <v>-1121.8929936555378</v>
      </c>
      <c r="I21" s="11">
        <f ca="1">'Income Statement Drivers'!I53</f>
        <v>-1174.8315939555312</v>
      </c>
      <c r="J21" s="11">
        <f ca="1">'Income Statement Drivers'!J53</f>
        <v>-1254.8427582632937</v>
      </c>
      <c r="K21" s="11">
        <f ca="1">'Income Statement Drivers'!K53</f>
        <v>-1340.2704310400463</v>
      </c>
    </row>
    <row r="22" spans="2:11" x14ac:dyDescent="0.25">
      <c r="B22" s="3" t="s">
        <v>46</v>
      </c>
      <c r="C22" s="43">
        <f>-INCOME_STATEMENT!C18</f>
        <v>-409</v>
      </c>
      <c r="D22" s="43">
        <f>-INCOME_STATEMENT!D18</f>
        <v>-450</v>
      </c>
      <c r="E22" s="43">
        <f>-INCOME_STATEMENT!E18</f>
        <v>-448</v>
      </c>
      <c r="F22" s="43">
        <f>-INCOME_STATEMENT!F18</f>
        <v>-448</v>
      </c>
      <c r="G22" s="11">
        <f ca="1">'Income Statement Drivers'!G59</f>
        <v>-448.10830835325288</v>
      </c>
      <c r="H22" s="11">
        <f ca="1">'Income Statement Drivers'!H59</f>
        <v>-448.50342781885405</v>
      </c>
      <c r="I22" s="11">
        <f ca="1">'Income Statement Drivers'!I59</f>
        <v>-448.8671976637865</v>
      </c>
      <c r="J22" s="11">
        <f ca="1">'Income Statement Drivers'!J59</f>
        <v>-448.20378800229901</v>
      </c>
      <c r="K22" s="11">
        <f ca="1">'Income Statement Drivers'!K59</f>
        <v>-447.54287571636769</v>
      </c>
    </row>
    <row r="23" spans="2:11" x14ac:dyDescent="0.25">
      <c r="B23" s="6" t="s">
        <v>47</v>
      </c>
      <c r="C23" s="42">
        <f>-INCOME_STATEMENT!C19</f>
        <v>-29</v>
      </c>
      <c r="D23" s="42">
        <f>-INCOME_STATEMENT!D19</f>
        <v>-56</v>
      </c>
      <c r="E23" s="42">
        <f>-INCOME_STATEMENT!E19</f>
        <v>-11</v>
      </c>
      <c r="F23" s="42">
        <f>-INCOME_STATEMENT!F19</f>
        <v>-4</v>
      </c>
      <c r="G23" s="12">
        <f ca="1">'Income Statement Drivers'!G62</f>
        <v>-3.2361157500000002</v>
      </c>
      <c r="H23" s="12">
        <f ca="1">'Income Statement Drivers'!H62</f>
        <v>-3.5644337095500012</v>
      </c>
      <c r="I23" s="12">
        <f ca="1">'Income Statement Drivers'!I62</f>
        <v>-3.9290822323199999</v>
      </c>
      <c r="J23" s="12">
        <f ca="1">'Income Statement Drivers'!J62</f>
        <v>-4.4175472612991999</v>
      </c>
      <c r="K23" s="12">
        <f ca="1">'Income Statement Drivers'!K62</f>
        <v>-4.9666176419758079</v>
      </c>
    </row>
    <row r="24" spans="2:11" x14ac:dyDescent="0.25">
      <c r="B24" s="2" t="s">
        <v>48</v>
      </c>
      <c r="C24" s="43">
        <f>SUM(C20:C23)</f>
        <v>-2124</v>
      </c>
      <c r="D24" s="43">
        <f>SUM(D20:D23)</f>
        <v>-2198</v>
      </c>
      <c r="E24" s="43">
        <f>SUM(E20:E23)</f>
        <v>-2066</v>
      </c>
      <c r="F24" s="43">
        <f>SUM(F20:F23)</f>
        <v>-2109</v>
      </c>
      <c r="G24" s="11">
        <f ca="1">SUM(G20:G23)</f>
        <v>-2196.5077018910224</v>
      </c>
      <c r="H24" s="11">
        <f t="shared" ref="H24:J24" ca="1" si="7">SUM(H20:H23)</f>
        <v>-2278.1746301799035</v>
      </c>
      <c r="I24" s="11">
        <f t="shared" ca="1" si="7"/>
        <v>-2365.071281059481</v>
      </c>
      <c r="J24" s="11">
        <f t="shared" ca="1" si="7"/>
        <v>-2495.1306186057182</v>
      </c>
      <c r="K24" s="11">
        <f t="shared" ref="K24" ca="1" si="8">SUM(K20:K23)</f>
        <v>-2634.0695171632133</v>
      </c>
    </row>
    <row r="25" spans="2:11" x14ac:dyDescent="0.25">
      <c r="B25" s="2"/>
      <c r="C25" s="20"/>
      <c r="D25" s="20"/>
      <c r="E25" s="20"/>
      <c r="F25" s="20"/>
      <c r="G25" s="20"/>
      <c r="H25" s="20"/>
      <c r="I25" s="20"/>
      <c r="J25" s="20"/>
      <c r="K25" s="20"/>
    </row>
    <row r="26" spans="2:11" x14ac:dyDescent="0.25">
      <c r="B26" s="2" t="s">
        <v>72</v>
      </c>
      <c r="C26" s="44">
        <f t="shared" ref="C26:K26" si="9">C17+C24</f>
        <v>-812</v>
      </c>
      <c r="D26" s="44">
        <f t="shared" si="9"/>
        <v>-516</v>
      </c>
      <c r="E26" s="44">
        <f t="shared" si="9"/>
        <v>-74</v>
      </c>
      <c r="F26" s="44">
        <f t="shared" si="9"/>
        <v>149</v>
      </c>
      <c r="G26" s="14">
        <f t="shared" ca="1" si="9"/>
        <v>356.9961160754824</v>
      </c>
      <c r="H26" s="14">
        <f t="shared" ca="1" si="9"/>
        <v>538.25635463384333</v>
      </c>
      <c r="I26" s="14">
        <f t="shared" ca="1" si="9"/>
        <v>743.75288916264572</v>
      </c>
      <c r="J26" s="14">
        <f t="shared" ca="1" si="9"/>
        <v>1004.9905586497212</v>
      </c>
      <c r="K26" s="14">
        <f t="shared" ca="1" si="9"/>
        <v>1306.5073353806538</v>
      </c>
    </row>
    <row r="27" spans="2:11" x14ac:dyDescent="0.25">
      <c r="B27" s="2" t="s">
        <v>57</v>
      </c>
      <c r="C27" s="45">
        <f t="shared" ref="C27:K27" si="10">C26/C10</f>
        <v>-0.43702906350914961</v>
      </c>
      <c r="D27" s="45">
        <f t="shared" si="10"/>
        <v>-0.22801590808661068</v>
      </c>
      <c r="E27" s="45">
        <f t="shared" si="10"/>
        <v>-2.8352490421455937E-2</v>
      </c>
      <c r="F27" s="45">
        <f t="shared" si="10"/>
        <v>5.1044878383007877E-2</v>
      </c>
      <c r="G27" s="22">
        <f t="shared" ca="1" si="10"/>
        <v>0.11031623824811657</v>
      </c>
      <c r="H27" s="22">
        <f t="shared" ca="1" si="10"/>
        <v>0.15100753681902435</v>
      </c>
      <c r="I27" s="22">
        <f t="shared" ca="1" si="10"/>
        <v>0.18929430467111474</v>
      </c>
      <c r="J27" s="22">
        <f t="shared" ca="1" si="10"/>
        <v>0.22749967328117585</v>
      </c>
      <c r="K27" s="22">
        <f t="shared" ca="1" si="10"/>
        <v>0.26305776477307047</v>
      </c>
    </row>
    <row r="29" spans="2:11" x14ac:dyDescent="0.25">
      <c r="B29" s="2" t="s">
        <v>71</v>
      </c>
      <c r="C29" s="46">
        <f t="shared" ref="C29:K29" si="11">C26+C88</f>
        <v>-698</v>
      </c>
      <c r="D29" s="46">
        <f t="shared" si="11"/>
        <v>-432</v>
      </c>
      <c r="E29" s="46">
        <f t="shared" si="11"/>
        <v>14</v>
      </c>
      <c r="F29" s="46">
        <f t="shared" si="11"/>
        <v>245</v>
      </c>
      <c r="G29" s="25">
        <f t="shared" ca="1" si="11"/>
        <v>422.9961160754824</v>
      </c>
      <c r="H29" s="25">
        <f t="shared" ca="1" si="11"/>
        <v>585.03179707928996</v>
      </c>
      <c r="I29" s="25">
        <f t="shared" ca="1" si="11"/>
        <v>784.39705766824227</v>
      </c>
      <c r="J29" s="25">
        <f t="shared" ca="1" si="11"/>
        <v>1033.9349606481924</v>
      </c>
      <c r="K29" s="25">
        <f t="shared" ca="1" si="11"/>
        <v>1333.8407419117934</v>
      </c>
    </row>
    <row r="30" spans="2:11" x14ac:dyDescent="0.25">
      <c r="B30" s="2" t="s">
        <v>73</v>
      </c>
      <c r="C30" s="45">
        <f t="shared" ref="C30:K30" si="12">C29/C10</f>
        <v>-0.37567276641550051</v>
      </c>
      <c r="D30" s="45">
        <f t="shared" si="12"/>
        <v>-0.19089703932832522</v>
      </c>
      <c r="E30" s="45">
        <f t="shared" si="12"/>
        <v>5.3639846743295016E-3</v>
      </c>
      <c r="F30" s="45">
        <f t="shared" si="12"/>
        <v>8.3932853717026384E-2</v>
      </c>
      <c r="G30" s="22">
        <f t="shared" ca="1" si="12"/>
        <v>0.13071105879803044</v>
      </c>
      <c r="H30" s="22">
        <f t="shared" ca="1" si="12"/>
        <v>0.16413036256273889</v>
      </c>
      <c r="I30" s="22">
        <f t="shared" ca="1" si="12"/>
        <v>0.19963874800479306</v>
      </c>
      <c r="J30" s="22">
        <f t="shared" ca="1" si="12"/>
        <v>0.2340518164245089</v>
      </c>
      <c r="K30" s="22">
        <f t="shared" ca="1" si="12"/>
        <v>0.26856118953847397</v>
      </c>
    </row>
    <row r="32" spans="2:11" x14ac:dyDescent="0.25">
      <c r="C32" s="37"/>
      <c r="D32" s="37"/>
      <c r="E32" s="37"/>
      <c r="F32" s="37"/>
      <c r="G32" s="37"/>
      <c r="H32" s="37"/>
      <c r="I32" s="37"/>
      <c r="J32" s="37"/>
      <c r="K32" s="37"/>
    </row>
    <row r="33" spans="2:11" x14ac:dyDescent="0.25">
      <c r="B33" s="7" t="s">
        <v>22</v>
      </c>
      <c r="C33" s="42">
        <f>SUM(INCOME_STATEMENT!C23:C25)</f>
        <v>11</v>
      </c>
      <c r="D33" s="42">
        <f>SUM(INCOME_STATEMENT!D23:D25)</f>
        <v>179</v>
      </c>
      <c r="E33" s="42">
        <f>SUM(INCOME_STATEMENT!E23:E25)</f>
        <v>120</v>
      </c>
      <c r="F33" s="42">
        <f>SUM(INCOME_STATEMENT!F23:F25)</f>
        <v>106</v>
      </c>
      <c r="G33" s="12">
        <f ca="1">G118*'Income Statement Drivers'!G67</f>
        <v>107.22600000000001</v>
      </c>
      <c r="H33" s="12">
        <f ca="1">H118*'Income Statement Drivers'!H67</f>
        <v>89.215602962495424</v>
      </c>
      <c r="I33" s="12">
        <f ca="1">I118*'Income Statement Drivers'!I67</f>
        <v>84</v>
      </c>
      <c r="J33" s="12">
        <f ca="1">J118*'Income Statement Drivers'!J67</f>
        <v>84</v>
      </c>
      <c r="K33" s="12">
        <f ca="1">K118*'Income Statement Drivers'!K67</f>
        <v>84</v>
      </c>
    </row>
    <row r="34" spans="2:11" x14ac:dyDescent="0.25">
      <c r="B34" t="s">
        <v>24</v>
      </c>
      <c r="C34" s="43">
        <f t="shared" ref="C34:J34" si="13">C26+C33</f>
        <v>-801</v>
      </c>
      <c r="D34" s="43">
        <f t="shared" si="13"/>
        <v>-337</v>
      </c>
      <c r="E34" s="43">
        <f t="shared" si="13"/>
        <v>46</v>
      </c>
      <c r="F34" s="43">
        <f t="shared" si="13"/>
        <v>255</v>
      </c>
      <c r="G34" s="11">
        <f t="shared" ca="1" si="13"/>
        <v>464.2221160754824</v>
      </c>
      <c r="H34" s="11">
        <f t="shared" ca="1" si="13"/>
        <v>627.47195759633871</v>
      </c>
      <c r="I34" s="11">
        <f t="shared" ca="1" si="13"/>
        <v>827.75288916264572</v>
      </c>
      <c r="J34" s="11">
        <f t="shared" ca="1" si="13"/>
        <v>1088.9905586497212</v>
      </c>
      <c r="K34" s="11">
        <f t="shared" ref="K34" ca="1" si="14">K26+K33</f>
        <v>1390.5073353806538</v>
      </c>
    </row>
    <row r="35" spans="2:11" x14ac:dyDescent="0.25">
      <c r="B35" s="7" t="s">
        <v>23</v>
      </c>
      <c r="C35" s="42">
        <f>-INCOME_STATEMENT!C28</f>
        <v>-14</v>
      </c>
      <c r="D35" s="42">
        <f>-INCOME_STATEMENT!D28</f>
        <v>-18</v>
      </c>
      <c r="E35" s="42">
        <f>-INCOME_STATEMENT!E28</f>
        <v>-18</v>
      </c>
      <c r="F35" s="42">
        <f>-INCOME_STATEMENT!F28</f>
        <v>-20</v>
      </c>
      <c r="G35" s="32">
        <f>'Income Statement Drivers'!G69</f>
        <v>-22</v>
      </c>
      <c r="H35" s="32">
        <f>'Income Statement Drivers'!H69</f>
        <v>-24</v>
      </c>
      <c r="I35" s="32">
        <f>'Income Statement Drivers'!I69</f>
        <v>-26</v>
      </c>
      <c r="J35" s="32">
        <f>'Income Statement Drivers'!J69</f>
        <v>-28</v>
      </c>
      <c r="K35" s="32">
        <f>'Income Statement Drivers'!K69</f>
        <v>-28</v>
      </c>
    </row>
    <row r="36" spans="2:11" x14ac:dyDescent="0.25">
      <c r="B36" s="2" t="s">
        <v>25</v>
      </c>
      <c r="C36" s="44">
        <f t="shared" ref="C36:J36" si="15">C34+C35</f>
        <v>-815</v>
      </c>
      <c r="D36" s="44">
        <f t="shared" si="15"/>
        <v>-355</v>
      </c>
      <c r="E36" s="44">
        <f t="shared" si="15"/>
        <v>28</v>
      </c>
      <c r="F36" s="44">
        <f t="shared" si="15"/>
        <v>235</v>
      </c>
      <c r="G36" s="14">
        <f t="shared" ca="1" si="15"/>
        <v>442.2221160754824</v>
      </c>
      <c r="H36" s="14">
        <f t="shared" ca="1" si="15"/>
        <v>603.47195759633871</v>
      </c>
      <c r="I36" s="14">
        <f t="shared" ca="1" si="15"/>
        <v>801.75288916264572</v>
      </c>
      <c r="J36" s="14">
        <f t="shared" ca="1" si="15"/>
        <v>1060.9905586497212</v>
      </c>
      <c r="K36" s="14">
        <f t="shared" ref="K36" ca="1" si="16">K34+K35</f>
        <v>1362.5073353806538</v>
      </c>
    </row>
    <row r="37" spans="2:11" x14ac:dyDescent="0.25">
      <c r="B37" s="2" t="s">
        <v>58</v>
      </c>
      <c r="C37" s="45">
        <f t="shared" ref="C37:K37" si="17">C36/C10</f>
        <v>-0.43864370290635091</v>
      </c>
      <c r="D37" s="45">
        <f t="shared" si="17"/>
        <v>-0.15687140963323024</v>
      </c>
      <c r="E37" s="45">
        <f t="shared" si="17"/>
        <v>1.0727969348659003E-2</v>
      </c>
      <c r="F37" s="45">
        <f t="shared" si="17"/>
        <v>8.0507022953066124E-2</v>
      </c>
      <c r="G37" s="22">
        <f t="shared" ca="1" si="17"/>
        <v>0.13665213182670688</v>
      </c>
      <c r="H37" s="22">
        <f t="shared" ca="1" si="17"/>
        <v>0.16930373988425926</v>
      </c>
      <c r="I37" s="22">
        <f t="shared" ca="1" si="17"/>
        <v>0.20405602167538137</v>
      </c>
      <c r="J37" s="22">
        <f t="shared" ca="1" si="17"/>
        <v>0.24017639108125444</v>
      </c>
      <c r="K37" s="22">
        <f t="shared" ca="1" si="17"/>
        <v>0.27433304385368884</v>
      </c>
    </row>
    <row r="38" spans="2:11" x14ac:dyDescent="0.25">
      <c r="G38" s="25"/>
      <c r="H38" s="25"/>
      <c r="I38" s="25"/>
      <c r="J38" s="25"/>
      <c r="K38" s="25"/>
    </row>
    <row r="39" spans="2:11" x14ac:dyDescent="0.25">
      <c r="B39" s="2" t="s">
        <v>396</v>
      </c>
      <c r="D39" s="37"/>
      <c r="E39" s="37"/>
      <c r="F39" s="37"/>
    </row>
    <row r="40" spans="2:11" x14ac:dyDescent="0.25">
      <c r="B40" s="3" t="s">
        <v>397</v>
      </c>
      <c r="C40" s="41">
        <v>158.023</v>
      </c>
      <c r="D40" s="41">
        <v>163.63399999999999</v>
      </c>
      <c r="E40" s="41">
        <v>169.56899999999999</v>
      </c>
      <c r="F40" s="41">
        <v>175.88200000000001</v>
      </c>
      <c r="G40" s="39">
        <f>F40+'Income Statement Drivers'!G77</f>
        <v>170.6653251020841</v>
      </c>
      <c r="H40" s="39">
        <f>G40+'Income Statement Drivers'!H77</f>
        <v>177.01914093734561</v>
      </c>
      <c r="I40" s="39">
        <f>H40+'Income Statement Drivers'!I77</f>
        <v>183.60950731762424</v>
      </c>
      <c r="J40" s="39">
        <f>I40+'Income Statement Drivers'!J77</f>
        <v>190.44523094456173</v>
      </c>
      <c r="K40" s="39">
        <f>J40+'Income Statement Drivers'!K77</f>
        <v>197.53544639050421</v>
      </c>
    </row>
    <row r="41" spans="2:11" x14ac:dyDescent="0.25">
      <c r="B41" s="3" t="s">
        <v>398</v>
      </c>
      <c r="C41" s="41">
        <v>158.023</v>
      </c>
      <c r="D41" s="41">
        <v>163.63399999999999</v>
      </c>
      <c r="E41" s="41">
        <v>175.08600000000001</v>
      </c>
      <c r="F41" s="41">
        <v>179.29</v>
      </c>
      <c r="G41" s="39">
        <f ca="1">IF(G36&lt;0,1,G40*(1+'Income Statement Drivers'!G79))</f>
        <v>173.22530497861536</v>
      </c>
      <c r="H41" s="39">
        <f ca="1">IF(H36&lt;0,1,H40*(1+'Income Statement Drivers'!H79))</f>
        <v>178.78933234671908</v>
      </c>
      <c r="I41" s="39">
        <f ca="1">IF(I36&lt;0,1,I40*(1+'Income Statement Drivers'!I79))</f>
        <v>185.44560239080047</v>
      </c>
      <c r="J41" s="39">
        <f ca="1">IF(J36&lt;0,1,J40*(1+'Income Statement Drivers'!J79))</f>
        <v>192.34968325400735</v>
      </c>
      <c r="K41" s="39">
        <f ca="1">IF(K36&lt;0,1,K40*(1+'Income Statement Drivers'!K79))</f>
        <v>199.51080085440924</v>
      </c>
    </row>
    <row r="42" spans="2:11" x14ac:dyDescent="0.25">
      <c r="C42" s="36"/>
      <c r="D42" s="22"/>
      <c r="E42" s="22"/>
      <c r="F42" s="22"/>
    </row>
    <row r="43" spans="2:11" x14ac:dyDescent="0.25">
      <c r="B43" s="2" t="s">
        <v>399</v>
      </c>
      <c r="C43" s="36"/>
      <c r="D43" s="36"/>
      <c r="E43" s="36"/>
      <c r="F43" s="36"/>
    </row>
    <row r="44" spans="2:11" x14ac:dyDescent="0.25">
      <c r="B44" s="3" t="s">
        <v>397</v>
      </c>
      <c r="C44" s="40">
        <f>INCOME_STATEMENT!C31</f>
        <v>-5.16</v>
      </c>
      <c r="D44" s="40">
        <f>INCOME_STATEMENT!D31</f>
        <v>-2.17</v>
      </c>
      <c r="E44" s="40">
        <f>INCOME_STATEMENT!E31</f>
        <v>0.16</v>
      </c>
      <c r="F44" s="40">
        <f>INCOME_STATEMENT!F31</f>
        <v>1.33</v>
      </c>
      <c r="G44" s="18">
        <f ca="1">IFERROR(G$36/G40,0)</f>
        <v>2.591165579832726</v>
      </c>
      <c r="H44" s="18">
        <f t="shared" ref="H44:J44" ca="1" si="18">IFERROR(H$36/H40,0)</f>
        <v>3.409077427451376</v>
      </c>
      <c r="I44" s="18">
        <f t="shared" ca="1" si="18"/>
        <v>4.3666196858515693</v>
      </c>
      <c r="J44" s="18">
        <f t="shared" ca="1" si="18"/>
        <v>5.5711059467725583</v>
      </c>
      <c r="K44" s="18">
        <f t="shared" ref="K44" ca="1" si="19">IFERROR(K$36/K40,0)</f>
        <v>6.8975333808552923</v>
      </c>
    </row>
    <row r="45" spans="2:11" x14ac:dyDescent="0.25">
      <c r="B45" s="3" t="s">
        <v>398</v>
      </c>
      <c r="C45" s="40">
        <f>INCOME_STATEMENT!C32</f>
        <v>-5.16</v>
      </c>
      <c r="D45" s="40">
        <f>INCOME_STATEMENT!D32</f>
        <v>-2.17</v>
      </c>
      <c r="E45" s="40">
        <f>INCOME_STATEMENT!E32</f>
        <v>0.06</v>
      </c>
      <c r="F45" s="40">
        <f>INCOME_STATEMENT!F32</f>
        <v>1.31</v>
      </c>
      <c r="G45" s="18">
        <f t="shared" ref="G45:J45" ca="1" si="20">IFERROR(G$36/G41,0)</f>
        <v>2.5528724924460353</v>
      </c>
      <c r="H45" s="18">
        <f t="shared" ca="1" si="20"/>
        <v>3.3753241855954212</v>
      </c>
      <c r="I45" s="18">
        <f t="shared" ca="1" si="20"/>
        <v>4.3233858275758115</v>
      </c>
      <c r="J45" s="18">
        <f t="shared" ca="1" si="20"/>
        <v>5.5159464819530282</v>
      </c>
      <c r="K45" s="18">
        <f t="shared" ref="K45" ca="1" si="21">IFERROR(K$36/K41,0)</f>
        <v>6.8292409711438538</v>
      </c>
    </row>
    <row r="46" spans="2:11" x14ac:dyDescent="0.25">
      <c r="B46" s="3" t="s">
        <v>395</v>
      </c>
      <c r="D46" s="20">
        <f>(D44/C44)-1</f>
        <v>-0.5794573643410853</v>
      </c>
      <c r="E46" s="20">
        <f t="shared" ref="E46:K46" si="22">(E44/D44)-1</f>
        <v>-1.0737327188940091</v>
      </c>
      <c r="F46" s="20">
        <f t="shared" si="22"/>
        <v>7.3125</v>
      </c>
      <c r="G46" s="20">
        <f t="shared" ca="1" si="22"/>
        <v>0.94824479686671115</v>
      </c>
      <c r="H46" s="20">
        <f t="shared" ca="1" si="22"/>
        <v>0.31565402612034177</v>
      </c>
      <c r="I46" s="20">
        <f t="shared" ca="1" si="22"/>
        <v>0.28088017323679604</v>
      </c>
      <c r="J46" s="20">
        <f t="shared" ca="1" si="22"/>
        <v>0.27583951605029511</v>
      </c>
      <c r="K46" s="20">
        <f t="shared" ca="1" si="22"/>
        <v>0.2380905060423697</v>
      </c>
    </row>
    <row r="49" spans="2:11" x14ac:dyDescent="0.25">
      <c r="B49" s="17" t="s">
        <v>1</v>
      </c>
      <c r="C49" s="129">
        <f t="shared" ref="C49:K49" si="23">C$4</f>
        <v>44957</v>
      </c>
      <c r="D49" s="129">
        <f t="shared" si="23"/>
        <v>45322</v>
      </c>
      <c r="E49" s="129">
        <f t="shared" si="23"/>
        <v>45688</v>
      </c>
      <c r="F49" s="129">
        <f t="shared" si="23"/>
        <v>46053</v>
      </c>
      <c r="G49" s="130">
        <f t="shared" si="23"/>
        <v>46418</v>
      </c>
      <c r="H49" s="130">
        <f t="shared" si="23"/>
        <v>46783</v>
      </c>
      <c r="I49" s="130">
        <f t="shared" si="23"/>
        <v>47149</v>
      </c>
      <c r="J49" s="130">
        <f t="shared" si="23"/>
        <v>47514</v>
      </c>
      <c r="K49" s="130">
        <f t="shared" si="23"/>
        <v>47879</v>
      </c>
    </row>
    <row r="50" spans="2:11" x14ac:dyDescent="0.25">
      <c r="B50" s="1"/>
      <c r="E50" s="20"/>
      <c r="F50" s="20"/>
    </row>
    <row r="51" spans="2:11" x14ac:dyDescent="0.25">
      <c r="B51" s="2" t="s">
        <v>18</v>
      </c>
      <c r="D51" s="58"/>
      <c r="E51" s="58"/>
      <c r="F51" s="58"/>
      <c r="G51" s="5"/>
      <c r="H51" s="5"/>
      <c r="I51" s="5"/>
      <c r="J51" s="5"/>
      <c r="K51" s="5"/>
    </row>
    <row r="52" spans="2:11" x14ac:dyDescent="0.25">
      <c r="B52" s="3" t="s">
        <v>302</v>
      </c>
      <c r="D52" s="48">
        <f>BALANCE_SHEET!D5 + BALANCE_SHEET!D6</f>
        <v>2202</v>
      </c>
      <c r="E52" s="48">
        <f>BALANCE_SHEET!E5 + BALANCE_SHEET!E6</f>
        <v>2523</v>
      </c>
      <c r="F52" s="48">
        <f>BALANCE_SHEET!F5 + BALANCE_SHEET!F6</f>
        <v>2553</v>
      </c>
      <c r="G52" s="135">
        <f ca="1">G119</f>
        <v>2124.1810229165576</v>
      </c>
      <c r="H52" s="135">
        <f t="shared" ref="H52:K52" ca="1" si="24">H119</f>
        <v>2000</v>
      </c>
      <c r="I52" s="135">
        <f t="shared" ca="1" si="24"/>
        <v>2000</v>
      </c>
      <c r="J52" s="135">
        <f t="shared" ca="1" si="24"/>
        <v>2000</v>
      </c>
      <c r="K52" s="135">
        <f t="shared" ca="1" si="24"/>
        <v>2000</v>
      </c>
    </row>
    <row r="53" spans="2:11" x14ac:dyDescent="0.25">
      <c r="B53" s="3" t="s">
        <v>2</v>
      </c>
      <c r="D53" s="49">
        <f>BALANCE_SHEET!D7</f>
        <v>559</v>
      </c>
      <c r="E53" s="49">
        <f>BALANCE_SHEET!E7</f>
        <v>621</v>
      </c>
      <c r="F53" s="49">
        <f>BALANCE_SHEET!F7</f>
        <v>687</v>
      </c>
      <c r="G53" s="5">
        <f ca="1">G10*'Balance Sheet Drivers'!G8</f>
        <v>754.01829566546758</v>
      </c>
      <c r="H53" s="5">
        <f ca="1">H10*'Balance Sheet Drivers'!H8</f>
        <v>822.21155049245613</v>
      </c>
      <c r="I53" s="5">
        <f ca="1">I10*'Balance Sheet Drivers'!I8</f>
        <v>897.26214229678385</v>
      </c>
      <c r="J53" s="5">
        <f ca="1">J10*'Balance Sheet Drivers'!J8</f>
        <v>998.72201907565307</v>
      </c>
      <c r="K53" s="5">
        <f ca="1">K10*'Balance Sheet Drivers'!K8</f>
        <v>1111.6276532903246</v>
      </c>
    </row>
    <row r="54" spans="2:11" x14ac:dyDescent="0.25">
      <c r="B54" s="3" t="s">
        <v>49</v>
      </c>
      <c r="D54" s="49">
        <f>SUM(BALANCE_SHEET!D14,BALANCE_SHEET!D8)</f>
        <v>355</v>
      </c>
      <c r="E54" s="49">
        <f>SUM(BALANCE_SHEET!E14,BALANCE_SHEET!E8)</f>
        <v>407</v>
      </c>
      <c r="F54" s="49">
        <f>SUM(BALANCE_SHEET!F14,BALANCE_SHEET!F8)</f>
        <v>503</v>
      </c>
      <c r="G54" s="5">
        <f ca="1">'Balance Sheet Drivers'!G10*'Income Statement Drivers'!G10</f>
        <v>550.78748225283903</v>
      </c>
      <c r="H54" s="5">
        <f ca="1">'Balance Sheet Drivers'!H10*'Income Statement Drivers'!H10</f>
        <v>616.8819801231798</v>
      </c>
      <c r="I54" s="5">
        <f ca="1">'Balance Sheet Drivers'!I10*'Income Statement Drivers'!I10</f>
        <v>690.90781773796141</v>
      </c>
      <c r="J54" s="5">
        <f ca="1">'Balance Sheet Drivers'!J10*'Income Statement Drivers'!J10</f>
        <v>773.81675586651693</v>
      </c>
      <c r="K54" s="5">
        <f ca="1">'Balance Sheet Drivers'!K10*'Income Statement Drivers'!K10</f>
        <v>866.67476657049906</v>
      </c>
    </row>
    <row r="55" spans="2:11" x14ac:dyDescent="0.25">
      <c r="B55" s="3" t="s">
        <v>272</v>
      </c>
      <c r="D55" s="49">
        <f>BALANCE_SHEET!D9</f>
        <v>106</v>
      </c>
      <c r="E55" s="49">
        <f>BALANCE_SHEET!E9</f>
        <v>132</v>
      </c>
      <c r="F55" s="49">
        <f>BALANCE_SHEET!F9</f>
        <v>233</v>
      </c>
      <c r="G55" s="5">
        <f ca="1">'Balance Sheet Drivers'!G17</f>
        <v>275.95899914022334</v>
      </c>
      <c r="H55" s="5">
        <f ca="1">'Balance Sheet Drivers'!H17</f>
        <v>321.5098840311166</v>
      </c>
      <c r="I55" s="5">
        <f ca="1">'Balance Sheet Drivers'!I17</f>
        <v>368.79822104230982</v>
      </c>
      <c r="J55" s="5">
        <f ca="1">'Balance Sheet Drivers'!J17</f>
        <v>418.68702503925238</v>
      </c>
      <c r="K55" s="5">
        <f ca="1">'Balance Sheet Drivers'!K17</f>
        <v>471.35383810153166</v>
      </c>
    </row>
    <row r="56" spans="2:11" x14ac:dyDescent="0.25">
      <c r="B56" s="3" t="s">
        <v>14</v>
      </c>
      <c r="D56" s="49">
        <f>BALANCE_SHEET!D13</f>
        <v>83</v>
      </c>
      <c r="E56" s="49">
        <f>BALANCE_SHEET!E13</f>
        <v>74</v>
      </c>
      <c r="F56" s="49">
        <f>BALANCE_SHEET!F13</f>
        <v>65</v>
      </c>
      <c r="G56" s="5">
        <f>'Balance Sheet Drivers'!G21</f>
        <v>56</v>
      </c>
      <c r="H56" s="5">
        <f>'Balance Sheet Drivers'!H21</f>
        <v>47</v>
      </c>
      <c r="I56" s="5">
        <f>'Balance Sheet Drivers'!I21</f>
        <v>38</v>
      </c>
      <c r="J56" s="5">
        <f>'Balance Sheet Drivers'!J21</f>
        <v>38</v>
      </c>
      <c r="K56" s="5">
        <f>'Balance Sheet Drivers'!K21</f>
        <v>38</v>
      </c>
    </row>
    <row r="57" spans="2:11" x14ac:dyDescent="0.25">
      <c r="B57" s="3" t="s">
        <v>15</v>
      </c>
      <c r="D57" s="49">
        <f>BALANCE_SHEET!D16</f>
        <v>5406</v>
      </c>
      <c r="E57" s="49">
        <f>BALANCE_SHEET!E16</f>
        <v>5448</v>
      </c>
      <c r="F57" s="49">
        <f>BALANCE_SHEET!F16</f>
        <v>5487</v>
      </c>
      <c r="G57" s="145">
        <f>F57</f>
        <v>5487</v>
      </c>
      <c r="H57" s="5">
        <f>G57</f>
        <v>5487</v>
      </c>
      <c r="I57" s="5">
        <f t="shared" ref="I57:K57" si="25">H57</f>
        <v>5487</v>
      </c>
      <c r="J57" s="5">
        <f t="shared" si="25"/>
        <v>5487</v>
      </c>
      <c r="K57" s="5">
        <f t="shared" si="25"/>
        <v>5487</v>
      </c>
    </row>
    <row r="58" spans="2:11" x14ac:dyDescent="0.25">
      <c r="B58" s="3" t="s">
        <v>124</v>
      </c>
      <c r="D58" s="49">
        <f>BALANCE_SHEET!D15</f>
        <v>182</v>
      </c>
      <c r="E58" s="49">
        <f>BALANCE_SHEET!E15</f>
        <v>138</v>
      </c>
      <c r="F58" s="49">
        <f>BALANCE_SHEET!F15</f>
        <v>91</v>
      </c>
      <c r="G58" s="78">
        <f>F58+'Balance Sheet Drivers'!G27</f>
        <v>102</v>
      </c>
      <c r="H58" s="78">
        <f>G58+'Balance Sheet Drivers'!H27</f>
        <v>134</v>
      </c>
      <c r="I58" s="78">
        <f>H58+'Balance Sheet Drivers'!I27</f>
        <v>173</v>
      </c>
      <c r="J58" s="78">
        <f>I58+'Balance Sheet Drivers'!J27</f>
        <v>225</v>
      </c>
      <c r="K58" s="78">
        <f>J58+'Balance Sheet Drivers'!K27</f>
        <v>280</v>
      </c>
    </row>
    <row r="59" spans="2:11" x14ac:dyDescent="0.25">
      <c r="B59" s="6" t="s">
        <v>353</v>
      </c>
      <c r="C59" s="7"/>
      <c r="D59" s="50">
        <f>BALANCE_SHEET!D12+BALANCE_SHEET!D17</f>
        <v>96</v>
      </c>
      <c r="E59" s="50">
        <f>BALANCE_SHEET!E12+BALANCE_SHEET!E17</f>
        <v>94</v>
      </c>
      <c r="F59" s="50">
        <f>BALANCE_SHEET!F12+BALANCE_SHEET!F17</f>
        <v>91</v>
      </c>
      <c r="G59" s="146">
        <f ca="1">F59+'Balance Sheet Drivers'!G15-'Balance Sheet Drivers'!G16</f>
        <v>91.958999140223369</v>
      </c>
      <c r="H59" s="147">
        <f ca="1">G59+'Balance Sheet Drivers'!H15-'Balance Sheet Drivers'!H16</f>
        <v>91.958999140223369</v>
      </c>
      <c r="I59" s="147">
        <f ca="1">H59+'Balance Sheet Drivers'!I15-'Balance Sheet Drivers'!I16</f>
        <v>91.958999140223369</v>
      </c>
      <c r="J59" s="147">
        <f ca="1">I59+'Balance Sheet Drivers'!J15-'Balance Sheet Drivers'!J16</f>
        <v>91.958999140223369</v>
      </c>
      <c r="K59" s="147">
        <f ca="1">J59+'Balance Sheet Drivers'!K15-'Balance Sheet Drivers'!K16</f>
        <v>91.958999140223369</v>
      </c>
    </row>
    <row r="60" spans="2:11" x14ac:dyDescent="0.25">
      <c r="B60" s="2" t="s">
        <v>3</v>
      </c>
      <c r="D60" s="51">
        <f>SUM(D52:D59)</f>
        <v>8989</v>
      </c>
      <c r="E60" s="51">
        <f>SUM(E52:E59)</f>
        <v>9437</v>
      </c>
      <c r="F60" s="51">
        <f>SUM(F52:F59)</f>
        <v>9710</v>
      </c>
      <c r="G60" s="131">
        <f t="shared" ref="G60:K60" ca="1" si="26">SUM(G52:G59)</f>
        <v>9441.9047991153111</v>
      </c>
      <c r="H60" s="131">
        <f t="shared" ca="1" si="26"/>
        <v>9520.5624137869745</v>
      </c>
      <c r="I60" s="131">
        <f t="shared" ca="1" si="26"/>
        <v>9746.9271802172789</v>
      </c>
      <c r="J60" s="131">
        <f t="shared" ca="1" si="26"/>
        <v>10033.184799121644</v>
      </c>
      <c r="K60" s="131">
        <f t="shared" ca="1" si="26"/>
        <v>10346.615257102578</v>
      </c>
    </row>
    <row r="61" spans="2:11" x14ac:dyDescent="0.25">
      <c r="E61" s="5"/>
      <c r="F61" s="5"/>
      <c r="G61" s="5"/>
    </row>
    <row r="62" spans="2:11" x14ac:dyDescent="0.25">
      <c r="B62" s="8" t="s">
        <v>4</v>
      </c>
    </row>
    <row r="63" spans="2:11" x14ac:dyDescent="0.25">
      <c r="B63" s="3" t="s">
        <v>6</v>
      </c>
      <c r="D63" s="43">
        <f>-BALANCE_SHEET!D22</f>
        <v>-12</v>
      </c>
      <c r="E63" s="43">
        <f>-BALANCE_SHEET!E22</f>
        <v>-13</v>
      </c>
      <c r="F63" s="43">
        <f>-BALANCE_SHEET!F22</f>
        <v>-12</v>
      </c>
      <c r="G63" s="11">
        <f ca="1">'Balance Sheet Drivers'!G32*SUM(G20:G22)</f>
        <v>-12.888385827660391</v>
      </c>
      <c r="H63" s="11">
        <f ca="1">'Balance Sheet Drivers'!H32*SUM(H20:H22)</f>
        <v>-13.366358277234967</v>
      </c>
      <c r="I63" s="11">
        <f ca="1">'Balance Sheet Drivers'!I32*SUM(I20:I22)</f>
        <v>-13.874848807938831</v>
      </c>
      <c r="J63" s="11">
        <f ca="1">'Balance Sheet Drivers'!J32*SUM(J20:J22)</f>
        <v>-14.636249907365487</v>
      </c>
      <c r="K63" s="11">
        <f ca="1">'Balance Sheet Drivers'!K32*SUM(K20:K22)</f>
        <v>-15.449474093297095</v>
      </c>
    </row>
    <row r="64" spans="2:11" x14ac:dyDescent="0.25">
      <c r="B64" s="3" t="s">
        <v>5</v>
      </c>
      <c r="D64" s="43">
        <f>-BALANCE_SHEET!D23</f>
        <v>-115</v>
      </c>
      <c r="E64" s="43">
        <f>-BALANCE_SHEET!E23</f>
        <v>-103</v>
      </c>
      <c r="F64" s="43">
        <f>-BALANCE_SHEET!F23</f>
        <v>-104</v>
      </c>
      <c r="G64" s="11">
        <f ca="1">G24*'Balance Sheet Drivers'!G33</f>
        <v>-107.6288773926601</v>
      </c>
      <c r="H64" s="11">
        <f ca="1">H24*'Balance Sheet Drivers'!H33</f>
        <v>-111.63055687881527</v>
      </c>
      <c r="I64" s="11">
        <f ca="1">I24*'Balance Sheet Drivers'!I33</f>
        <v>-115.88849277191457</v>
      </c>
      <c r="J64" s="11">
        <f ca="1">J24*'Balance Sheet Drivers'!J33</f>
        <v>-122.26140031168019</v>
      </c>
      <c r="K64" s="11">
        <f ca="1">K24*'Balance Sheet Drivers'!K33</f>
        <v>-129.06940634099746</v>
      </c>
    </row>
    <row r="65" spans="2:11" x14ac:dyDescent="0.25">
      <c r="B65" s="3" t="s">
        <v>8</v>
      </c>
      <c r="D65" s="43">
        <f>-(BALANCE_SHEET!D29+BALANCE_SHEET!D25)</f>
        <v>-1154</v>
      </c>
      <c r="E65" s="43">
        <f>-(BALANCE_SHEET!E29+BALANCE_SHEET!E25)</f>
        <v>-858</v>
      </c>
      <c r="F65" s="43">
        <f>-(BALANCE_SHEET!F29+BALANCE_SHEET!F25)</f>
        <v>-350</v>
      </c>
      <c r="G65" s="11">
        <f>F65+'Material Cash Requirements'!C13</f>
        <v>0</v>
      </c>
      <c r="H65" s="11">
        <f>G65+'Material Cash Requirements'!D13</f>
        <v>0</v>
      </c>
      <c r="I65" s="11">
        <f>H65+'Material Cash Requirements'!E13</f>
        <v>0</v>
      </c>
      <c r="J65" s="11">
        <f>I65+'Material Cash Requirements'!F13</f>
        <v>0</v>
      </c>
      <c r="K65" s="11">
        <f>J65+'Material Cash Requirements'!G13</f>
        <v>0</v>
      </c>
    </row>
    <row r="66" spans="2:11" x14ac:dyDescent="0.25">
      <c r="B66" s="3"/>
      <c r="D66" s="45"/>
      <c r="E66" s="45"/>
      <c r="F66" s="45"/>
      <c r="G66" s="11"/>
      <c r="H66" s="11"/>
      <c r="I66" s="11"/>
      <c r="J66" s="11"/>
    </row>
    <row r="67" spans="2:11" x14ac:dyDescent="0.25">
      <c r="B67" s="3" t="s">
        <v>110</v>
      </c>
      <c r="D67" s="43">
        <f>-BALANCE_SHEET!D24</f>
        <v>-167</v>
      </c>
      <c r="E67" s="43">
        <f>-BALANCE_SHEET!E24</f>
        <v>-207</v>
      </c>
      <c r="F67" s="43">
        <f>-BALANCE_SHEET!F24</f>
        <v>-213</v>
      </c>
      <c r="G67" s="11">
        <f ca="1">G24*'Balance Sheet Drivers'!G35</f>
        <v>-221.83790445841052</v>
      </c>
      <c r="H67" s="11">
        <f ca="1">H24*'Balance Sheet Drivers'!H35</f>
        <v>-230.08591570806993</v>
      </c>
      <c r="I67" s="11">
        <f ca="1">I24*'Balance Sheet Drivers'!I35</f>
        <v>-238.86210662193906</v>
      </c>
      <c r="J67" s="11">
        <f ca="1">J24*'Balance Sheet Drivers'!J35</f>
        <v>-251.99754469559886</v>
      </c>
      <c r="K67" s="11">
        <f ca="1">K24*'Balance Sheet Drivers'!K35</f>
        <v>-266.02978053853224</v>
      </c>
    </row>
    <row r="68" spans="2:11" x14ac:dyDescent="0.25">
      <c r="B68" s="3" t="s">
        <v>50</v>
      </c>
      <c r="D68" s="43">
        <f>-SUM(BALANCE_SHEET!D26,BALANCE_SHEET!D31)</f>
        <v>-1511</v>
      </c>
      <c r="E68" s="43">
        <f>-SUM(BALANCE_SHEET!E26,BALANCE_SHEET!E31)</f>
        <v>-1718</v>
      </c>
      <c r="F68" s="43">
        <f>-SUM(BALANCE_SHEET!F26,BALANCE_SHEET!F31)</f>
        <v>-1905</v>
      </c>
      <c r="G68" s="11">
        <f ca="1">'Income Statement Drivers'!G14*'Balance Sheet Drivers'!G36</f>
        <v>-2067.8868000000002</v>
      </c>
      <c r="H68" s="11">
        <f ca="1">'Income Statement Drivers'!H14*'Balance Sheet Drivers'!H36</f>
        <v>-2270.6208000000006</v>
      </c>
      <c r="I68" s="11">
        <f ca="1">'Income Statement Drivers'!I14*'Balance Sheet Drivers'!I36</f>
        <v>-2543.0952960000009</v>
      </c>
      <c r="J68" s="11">
        <f ca="1">'Income Statement Drivers'!J14*'Balance Sheet Drivers'!J36</f>
        <v>-2848.2667315200015</v>
      </c>
      <c r="K68" s="11">
        <f ca="1">'Income Statement Drivers'!K14*'Balance Sheet Drivers'!K36</f>
        <v>-3190.0587393024016</v>
      </c>
    </row>
    <row r="69" spans="2:11" x14ac:dyDescent="0.25">
      <c r="B69" s="3" t="s">
        <v>9</v>
      </c>
      <c r="D69" s="43">
        <f>'Balance Sheet Drivers'!D39</f>
        <v>-112</v>
      </c>
      <c r="E69" s="43">
        <f>'Balance Sheet Drivers'!E39</f>
        <v>-94</v>
      </c>
      <c r="F69" s="43">
        <f>'Balance Sheet Drivers'!F39</f>
        <v>-72</v>
      </c>
      <c r="G69" s="11">
        <f>'Balance Sheet Drivers'!G39</f>
        <v>-36</v>
      </c>
      <c r="H69" s="11">
        <f>'Balance Sheet Drivers'!H39</f>
        <v>-39</v>
      </c>
      <c r="I69" s="11">
        <f>'Balance Sheet Drivers'!I39</f>
        <v>-31</v>
      </c>
      <c r="J69" s="11">
        <f>'Balance Sheet Drivers'!J39</f>
        <v>-31</v>
      </c>
      <c r="K69" s="11">
        <f>'Balance Sheet Drivers'!K39</f>
        <v>-31</v>
      </c>
    </row>
    <row r="70" spans="2:11" x14ac:dyDescent="0.25">
      <c r="B70" s="6" t="s">
        <v>7</v>
      </c>
      <c r="C70" s="7"/>
      <c r="D70" s="42">
        <f>-BALANCE_SHEET!D32</f>
        <v>-30</v>
      </c>
      <c r="E70" s="42">
        <f>-BALANCE_SHEET!E32</f>
        <v>-39</v>
      </c>
      <c r="F70" s="42">
        <f>-BALANCE_SHEET!F32</f>
        <v>-55</v>
      </c>
      <c r="G70" s="12">
        <f>'Balance Sheet Drivers'!G41*('Income Statement Drivers'!D10-'Income Statement Drivers'!D14)</f>
        <v>-30.824124047943471</v>
      </c>
      <c r="H70" s="12">
        <f>'Balance Sheet Drivers'!H41*('Income Statement Drivers'!E10-'Income Statement Drivers'!E14)</f>
        <v>-42.310573623380883</v>
      </c>
      <c r="I70" s="12">
        <f>'Balance Sheet Drivers'!I41*('Income Statement Drivers'!F10-'Income Statement Drivers'!F14)</f>
        <v>-49.774614826895458</v>
      </c>
      <c r="J70" s="12">
        <f ca="1">'Balance Sheet Drivers'!J41*('Income Statement Drivers'!G10-'Income Statement Drivers'!G14)</f>
        <v>-56.981772555860026</v>
      </c>
      <c r="K70" s="12">
        <f ca="1">'Balance Sheet Drivers'!K41*('Income Statement Drivers'!H10-'Income Statement Drivers'!H14)</f>
        <v>-65.12202577812576</v>
      </c>
    </row>
    <row r="71" spans="2:11" x14ac:dyDescent="0.25">
      <c r="B71" s="9" t="s">
        <v>10</v>
      </c>
      <c r="D71" s="52">
        <f>SUM(D63:D70)</f>
        <v>-3101</v>
      </c>
      <c r="E71" s="52">
        <f>SUM(E63:E70)</f>
        <v>-3032</v>
      </c>
      <c r="F71" s="52">
        <f>SUM(F63:F70)</f>
        <v>-2711</v>
      </c>
      <c r="G71" s="132">
        <f t="shared" ref="G71:K71" ca="1" si="27">SUM(G63:G70)</f>
        <v>-2477.0660917266746</v>
      </c>
      <c r="H71" s="132">
        <f t="shared" ca="1" si="27"/>
        <v>-2707.014204487502</v>
      </c>
      <c r="I71" s="132">
        <f t="shared" ca="1" si="27"/>
        <v>-2992.4953590286887</v>
      </c>
      <c r="J71" s="132">
        <f t="shared" ca="1" si="27"/>
        <v>-3325.143698990506</v>
      </c>
      <c r="K71" s="132">
        <f t="shared" ca="1" si="27"/>
        <v>-3696.729426053354</v>
      </c>
    </row>
    <row r="72" spans="2:11" x14ac:dyDescent="0.25">
      <c r="B72" s="3"/>
      <c r="D72" s="85"/>
      <c r="E72" s="46"/>
      <c r="F72" s="46"/>
    </row>
    <row r="73" spans="2:11" x14ac:dyDescent="0.25">
      <c r="B73" s="6" t="s">
        <v>11</v>
      </c>
      <c r="C73" s="7"/>
      <c r="D73" s="50">
        <f>-'Condensed Stockholders Equity'!D15</f>
        <v>-5888</v>
      </c>
      <c r="E73" s="50">
        <f>-'Condensed Stockholders Equity'!E15</f>
        <v>-6405</v>
      </c>
      <c r="F73" s="50">
        <f>-'Condensed Stockholders Equity'!F15</f>
        <v>-6999</v>
      </c>
      <c r="G73" s="136">
        <f ca="1">-'Condensed Stockholders Equity'!G15</f>
        <v>-6964.8387073886352</v>
      </c>
      <c r="H73" s="136">
        <f ca="1">-'Condensed Stockholders Equity'!H15</f>
        <v>-6813.5482092994735</v>
      </c>
      <c r="I73" s="136">
        <f ca="1">-'Condensed Stockholders Equity'!I15</f>
        <v>-6754.4318211885893</v>
      </c>
      <c r="J73" s="136">
        <f ca="1">-'Condensed Stockholders Equity'!J15</f>
        <v>-6708.0411001311386</v>
      </c>
      <c r="K73" s="136">
        <f ca="1">-'Condensed Stockholders Equity'!K15</f>
        <v>-6649.8858310492224</v>
      </c>
    </row>
    <row r="74" spans="2:11" x14ac:dyDescent="0.25">
      <c r="B74" s="8" t="s">
        <v>12</v>
      </c>
      <c r="D74" s="54">
        <f>D73</f>
        <v>-5888</v>
      </c>
      <c r="E74" s="54">
        <f>E73</f>
        <v>-6405</v>
      </c>
      <c r="F74" s="54">
        <f>F73</f>
        <v>-6999</v>
      </c>
      <c r="G74" s="137">
        <f t="shared" ref="G74:K74" ca="1" si="28">G73</f>
        <v>-6964.8387073886352</v>
      </c>
      <c r="H74" s="137">
        <f t="shared" ca="1" si="28"/>
        <v>-6813.5482092994735</v>
      </c>
      <c r="I74" s="137">
        <f t="shared" ca="1" si="28"/>
        <v>-6754.4318211885893</v>
      </c>
      <c r="J74" s="137">
        <f t="shared" ca="1" si="28"/>
        <v>-6708.0411001311386</v>
      </c>
      <c r="K74" s="137">
        <f t="shared" ca="1" si="28"/>
        <v>-6649.8858310492224</v>
      </c>
    </row>
    <row r="75" spans="2:11" x14ac:dyDescent="0.25">
      <c r="D75" s="53"/>
      <c r="E75" s="53"/>
      <c r="F75" s="53"/>
      <c r="G75" s="138"/>
      <c r="H75" s="138"/>
      <c r="I75" s="138"/>
      <c r="J75" s="138"/>
      <c r="K75" s="138"/>
    </row>
    <row r="76" spans="2:11" x14ac:dyDescent="0.25">
      <c r="B76" s="2" t="s">
        <v>13</v>
      </c>
      <c r="D76" s="51">
        <f>SUM(D71+D74)</f>
        <v>-8989</v>
      </c>
      <c r="E76" s="51">
        <f>SUM(E71+E74)</f>
        <v>-9437</v>
      </c>
      <c r="F76" s="51">
        <f>SUM(F71+F74)</f>
        <v>-9710</v>
      </c>
      <c r="G76" s="131">
        <f t="shared" ref="G76:K76" ca="1" si="29">SUM(G71+G74)</f>
        <v>-9441.9047991153093</v>
      </c>
      <c r="H76" s="131">
        <f t="shared" ca="1" si="29"/>
        <v>-9520.5624137869745</v>
      </c>
      <c r="I76" s="131">
        <f t="shared" ca="1" si="29"/>
        <v>-9746.9271802172771</v>
      </c>
      <c r="J76" s="131">
        <f t="shared" ca="1" si="29"/>
        <v>-10033.184799121645</v>
      </c>
      <c r="K76" s="131">
        <f t="shared" ca="1" si="29"/>
        <v>-10346.615257102576</v>
      </c>
    </row>
    <row r="77" spans="2:11" x14ac:dyDescent="0.25">
      <c r="D77" s="53"/>
      <c r="E77" s="53"/>
      <c r="F77" s="53"/>
      <c r="G77" s="138"/>
      <c r="H77" s="138"/>
      <c r="I77" s="138"/>
      <c r="J77" s="138"/>
      <c r="K77" s="138"/>
    </row>
    <row r="78" spans="2:11" x14ac:dyDescent="0.25">
      <c r="B78" t="s">
        <v>16</v>
      </c>
      <c r="C78" s="4"/>
      <c r="D78" s="144">
        <f>D60+D76</f>
        <v>0</v>
      </c>
      <c r="E78" s="144">
        <f t="shared" ref="E78:K78" si="30">E60+E76</f>
        <v>0</v>
      </c>
      <c r="F78" s="144">
        <f t="shared" si="30"/>
        <v>0</v>
      </c>
      <c r="G78" s="144">
        <f t="shared" ca="1" si="30"/>
        <v>0</v>
      </c>
      <c r="H78" s="144">
        <f t="shared" ca="1" si="30"/>
        <v>0</v>
      </c>
      <c r="I78" s="144">
        <f t="shared" ca="1" si="30"/>
        <v>0</v>
      </c>
      <c r="J78" s="144">
        <f t="shared" ca="1" si="30"/>
        <v>0</v>
      </c>
      <c r="K78" s="144">
        <f t="shared" ca="1" si="30"/>
        <v>0</v>
      </c>
    </row>
    <row r="79" spans="2:11" x14ac:dyDescent="0.25">
      <c r="C79" s="4"/>
      <c r="D79" s="142"/>
      <c r="E79" s="142"/>
      <c r="F79" s="142"/>
      <c r="G79" s="143"/>
      <c r="H79" s="143"/>
      <c r="I79" s="143"/>
      <c r="J79" s="143"/>
      <c r="K79" s="143"/>
    </row>
    <row r="80" spans="2:11" x14ac:dyDescent="0.25">
      <c r="C80" s="4"/>
      <c r="D80" s="48"/>
      <c r="E80" s="48"/>
      <c r="F80" s="48"/>
    </row>
    <row r="81" spans="2:11" x14ac:dyDescent="0.25">
      <c r="G81" s="4"/>
      <c r="H81" s="4"/>
      <c r="I81" s="4"/>
      <c r="J81" s="4"/>
      <c r="K81" s="4"/>
    </row>
    <row r="82" spans="2:11" x14ac:dyDescent="0.25">
      <c r="G82" s="135"/>
      <c r="H82" s="135"/>
      <c r="I82" s="135"/>
      <c r="J82" s="135"/>
      <c r="K82" s="135"/>
    </row>
    <row r="84" spans="2:11" x14ac:dyDescent="0.25">
      <c r="B84" s="17" t="s">
        <v>26</v>
      </c>
      <c r="C84" s="129">
        <f t="shared" ref="C84:K84" si="31">C$4</f>
        <v>44957</v>
      </c>
      <c r="D84" s="129">
        <f t="shared" si="31"/>
        <v>45322</v>
      </c>
      <c r="E84" s="129">
        <f t="shared" si="31"/>
        <v>45688</v>
      </c>
      <c r="F84" s="129">
        <f t="shared" si="31"/>
        <v>46053</v>
      </c>
      <c r="G84" s="130">
        <f t="shared" si="31"/>
        <v>46418</v>
      </c>
      <c r="H84" s="130">
        <f t="shared" si="31"/>
        <v>46783</v>
      </c>
      <c r="I84" s="130">
        <f t="shared" si="31"/>
        <v>47149</v>
      </c>
      <c r="J84" s="130">
        <f t="shared" si="31"/>
        <v>47514</v>
      </c>
      <c r="K84" s="130">
        <f t="shared" si="31"/>
        <v>47879</v>
      </c>
    </row>
    <row r="86" spans="2:11" x14ac:dyDescent="0.25">
      <c r="B86" s="2" t="s">
        <v>27</v>
      </c>
    </row>
    <row r="87" spans="2:11" x14ac:dyDescent="0.25">
      <c r="B87" s="9" t="s">
        <v>28</v>
      </c>
      <c r="C87" s="43">
        <f t="shared" ref="C87:K87" si="32">C36</f>
        <v>-815</v>
      </c>
      <c r="D87" s="43">
        <f t="shared" si="32"/>
        <v>-355</v>
      </c>
      <c r="E87" s="43">
        <f t="shared" si="32"/>
        <v>28</v>
      </c>
      <c r="F87" s="43">
        <f t="shared" si="32"/>
        <v>235</v>
      </c>
      <c r="G87" s="11">
        <f t="shared" ca="1" si="32"/>
        <v>442.2221160754824</v>
      </c>
      <c r="H87" s="11">
        <f t="shared" ca="1" si="32"/>
        <v>603.47195759633871</v>
      </c>
      <c r="I87" s="11">
        <f t="shared" ca="1" si="32"/>
        <v>801.75288916264572</v>
      </c>
      <c r="J87" s="11">
        <f t="shared" ca="1" si="32"/>
        <v>1060.9905586497212</v>
      </c>
      <c r="K87" s="11">
        <f t="shared" ca="1" si="32"/>
        <v>1362.5073353806538</v>
      </c>
    </row>
    <row r="88" spans="2:11" x14ac:dyDescent="0.25">
      <c r="B88" s="15" t="s">
        <v>358</v>
      </c>
      <c r="C88" s="111">
        <f>'Cash Flow Drivers'!C6</f>
        <v>114</v>
      </c>
      <c r="D88" s="111">
        <f>'Cash Flow Drivers'!D6</f>
        <v>84</v>
      </c>
      <c r="E88" s="111">
        <f>'Cash Flow Drivers'!E6</f>
        <v>88</v>
      </c>
      <c r="F88" s="111">
        <f>'Cash Flow Drivers'!F6</f>
        <v>96</v>
      </c>
      <c r="G88" s="148">
        <f>'Cash Flow Drivers'!G6</f>
        <v>66</v>
      </c>
      <c r="H88" s="148">
        <f ca="1">'Cash Flow Drivers'!H6</f>
        <v>46.775442445446608</v>
      </c>
      <c r="I88" s="148">
        <f ca="1">'Cash Flow Drivers'!I6</f>
        <v>40.64416850559661</v>
      </c>
      <c r="J88" s="148">
        <f ca="1">'Cash Flow Drivers'!J6</f>
        <v>28.944401998471264</v>
      </c>
      <c r="K88" s="148">
        <f ca="1">'Cash Flow Drivers'!K6</f>
        <v>27.333406531139637</v>
      </c>
    </row>
    <row r="89" spans="2:11" x14ac:dyDescent="0.25">
      <c r="B89" s="15" t="s">
        <v>33</v>
      </c>
      <c r="C89" s="43">
        <f>CASH_FLOW!C8</f>
        <v>677</v>
      </c>
      <c r="D89" s="43">
        <f>CASH_FLOW!D8</f>
        <v>684</v>
      </c>
      <c r="E89" s="43">
        <f>CASH_FLOW!E8</f>
        <v>565</v>
      </c>
      <c r="F89" s="43">
        <f>CASH_FLOW!F8</f>
        <v>544</v>
      </c>
      <c r="G89" s="11">
        <f ca="1">-'Cash Flow Drivers'!G12*G24</f>
        <v>572.23764425177978</v>
      </c>
      <c r="H89" s="11">
        <f ca="1">-'Cash Flow Drivers'!H12*H24</f>
        <v>599.44877737985144</v>
      </c>
      <c r="I89" s="11">
        <f ca="1">-'Cash Flow Drivers'!I12*I24</f>
        <v>628.53675032484318</v>
      </c>
      <c r="J89" s="11">
        <f ca="1">-'Cash Flow Drivers'!J12*J24</f>
        <v>669.73207794880079</v>
      </c>
      <c r="K89" s="11">
        <f ca="1">-'Cash Flow Drivers'!K12*K24</f>
        <v>714.0957056183604</v>
      </c>
    </row>
    <row r="90" spans="2:11" x14ac:dyDescent="0.25">
      <c r="B90" s="15" t="s">
        <v>51</v>
      </c>
      <c r="C90" s="43">
        <f>CASH_FLOW!C11</f>
        <v>84</v>
      </c>
      <c r="D90" s="43">
        <f>CASH_FLOW!D11</f>
        <v>104</v>
      </c>
      <c r="E90" s="43">
        <f>CASH_FLOW!E11</f>
        <v>130</v>
      </c>
      <c r="F90" s="43">
        <f>CASH_FLOW!F11</f>
        <v>161</v>
      </c>
      <c r="G90" s="11">
        <f ca="1">'Cash Flow Drivers'!G15*G54</f>
        <v>176.29579451830432</v>
      </c>
      <c r="H90" s="11">
        <f ca="1">'Cash Flow Drivers'!H15*H54</f>
        <v>197.45128986050088</v>
      </c>
      <c r="I90" s="11">
        <f ca="1">'Cash Flow Drivers'!I15*I54</f>
        <v>221.14544464376098</v>
      </c>
      <c r="J90" s="11">
        <f ca="1">'Cash Flow Drivers'!J15*J54</f>
        <v>247.68289800101235</v>
      </c>
      <c r="K90" s="11">
        <f ca="1">'Cash Flow Drivers'!K15*K54</f>
        <v>277.40484576113386</v>
      </c>
    </row>
    <row r="91" spans="2:11" x14ac:dyDescent="0.25">
      <c r="B91" s="15" t="s">
        <v>34</v>
      </c>
      <c r="C91" s="43">
        <f>CASH_FLOW!C12</f>
        <v>7</v>
      </c>
      <c r="D91" s="43">
        <f>CASH_FLOW!D12</f>
        <v>6</v>
      </c>
      <c r="E91" s="43">
        <f>CASH_FLOW!E12</f>
        <v>2</v>
      </c>
      <c r="F91" s="43">
        <f>CASH_FLOW!F12</f>
        <v>13</v>
      </c>
      <c r="G91" s="149">
        <v>0</v>
      </c>
      <c r="H91" s="39">
        <f t="shared" ref="H91:K91" si="33">G91</f>
        <v>0</v>
      </c>
      <c r="I91" s="39">
        <f t="shared" si="33"/>
        <v>0</v>
      </c>
      <c r="J91" s="39">
        <f t="shared" si="33"/>
        <v>0</v>
      </c>
      <c r="K91" s="39">
        <f t="shared" si="33"/>
        <v>0</v>
      </c>
    </row>
    <row r="92" spans="2:11" x14ac:dyDescent="0.25">
      <c r="B92" s="15" t="s">
        <v>35</v>
      </c>
      <c r="C92" s="43">
        <f>SUM(CASH_FLOW!C14:C17)</f>
        <v>26</v>
      </c>
      <c r="D92" s="43">
        <f>SUM(CASH_FLOW!D14:D17)</f>
        <v>-65</v>
      </c>
      <c r="E92" s="43">
        <f>SUM(CASH_FLOW!E14:E17)</f>
        <v>-10</v>
      </c>
      <c r="F92" s="43">
        <f>SUM(CASH_FLOW!F14:F17)</f>
        <v>8</v>
      </c>
      <c r="G92" s="149">
        <v>0</v>
      </c>
      <c r="H92" s="39">
        <f>G92</f>
        <v>0</v>
      </c>
      <c r="I92" s="39">
        <f t="shared" ref="I92:K92" si="34">H92</f>
        <v>0</v>
      </c>
      <c r="J92" s="39">
        <f t="shared" si="34"/>
        <v>0</v>
      </c>
      <c r="K92" s="39">
        <f t="shared" si="34"/>
        <v>0</v>
      </c>
    </row>
    <row r="93" spans="2:11" x14ac:dyDescent="0.25">
      <c r="B93" s="16" t="s">
        <v>36</v>
      </c>
      <c r="C93" s="42">
        <f>SUM(CASH_FLOW!C19:C27)</f>
        <v>-7</v>
      </c>
      <c r="D93" s="42">
        <f>SUM(CASH_FLOW!D19:D27)</f>
        <v>54</v>
      </c>
      <c r="E93" s="42">
        <f>SUM(CASH_FLOW!E19:E27)</f>
        <v>-53</v>
      </c>
      <c r="F93" s="42">
        <f>SUM(CASH_FLOW!F19:F27)</f>
        <v>-173</v>
      </c>
      <c r="G93" s="12">
        <f ca="1">'Cash Flow Drivers'!G66</f>
        <v>-208.99447985015956</v>
      </c>
      <c r="H93" s="12">
        <f ca="1">'Cash Flow Drivers'!H66</f>
        <v>-138.34181468789649</v>
      </c>
      <c r="I93" s="12">
        <f ca="1">'Cash Flow Drivers'!I66</f>
        <v>-123.02905653287638</v>
      </c>
      <c r="J93" s="12">
        <f ca="1">'Cash Flow Drivers'!J66</f>
        <v>-149.29217694356237</v>
      </c>
      <c r="K93" s="12">
        <f ca="1">'Cash Flow Drivers'!K66</f>
        <v>-164.24957667921871</v>
      </c>
    </row>
    <row r="94" spans="2:11" x14ac:dyDescent="0.25">
      <c r="B94" s="2" t="s">
        <v>27</v>
      </c>
      <c r="C94" s="43">
        <f t="shared" ref="C94:K94" si="35">SUM(C87:C93)</f>
        <v>86</v>
      </c>
      <c r="D94" s="43">
        <f t="shared" si="35"/>
        <v>512</v>
      </c>
      <c r="E94" s="43">
        <f t="shared" si="35"/>
        <v>750</v>
      </c>
      <c r="F94" s="43">
        <f t="shared" si="35"/>
        <v>884</v>
      </c>
      <c r="G94" s="28">
        <f t="shared" ca="1" si="35"/>
        <v>1047.7610749954069</v>
      </c>
      <c r="H94" s="28">
        <f t="shared" ca="1" si="35"/>
        <v>1308.8056525942413</v>
      </c>
      <c r="I94" s="28">
        <f t="shared" ca="1" si="35"/>
        <v>1569.0501961039699</v>
      </c>
      <c r="J94" s="28">
        <f t="shared" ca="1" si="35"/>
        <v>1858.0577596544431</v>
      </c>
      <c r="K94" s="28">
        <f t="shared" ca="1" si="35"/>
        <v>2217.0917166120689</v>
      </c>
    </row>
    <row r="95" spans="2:11" x14ac:dyDescent="0.25">
      <c r="C95" s="11"/>
      <c r="D95" s="11"/>
      <c r="E95" s="11"/>
      <c r="F95" s="11"/>
      <c r="G95" s="11"/>
      <c r="H95" s="11"/>
      <c r="I95" s="11"/>
      <c r="J95" s="11"/>
      <c r="K95" s="11"/>
    </row>
    <row r="96" spans="2:11" x14ac:dyDescent="0.25">
      <c r="B96" s="2" t="s">
        <v>29</v>
      </c>
      <c r="C96" s="11"/>
      <c r="D96" s="11"/>
      <c r="E96" s="11"/>
      <c r="F96" s="11"/>
      <c r="G96" s="11"/>
      <c r="H96" s="11"/>
      <c r="I96" s="11"/>
      <c r="J96" s="11"/>
      <c r="K96" s="11"/>
    </row>
    <row r="97" spans="2:11" x14ac:dyDescent="0.25">
      <c r="B97" s="3" t="s">
        <v>52</v>
      </c>
      <c r="C97" s="11"/>
      <c r="D97" s="11"/>
      <c r="E97" s="11"/>
      <c r="F97" s="11"/>
      <c r="G97" s="11"/>
      <c r="H97" s="11"/>
      <c r="I97" s="11"/>
      <c r="J97" s="11"/>
      <c r="K97" s="11"/>
    </row>
    <row r="98" spans="2:11" x14ac:dyDescent="0.25">
      <c r="B98" s="15" t="s">
        <v>53</v>
      </c>
      <c r="C98" s="43">
        <f>'Cash Flow Drivers'!C72</f>
        <v>-9</v>
      </c>
      <c r="D98" s="43">
        <f>'Cash Flow Drivers'!D72</f>
        <v>-15</v>
      </c>
      <c r="E98" s="43">
        <f>'Cash Flow Drivers'!E72</f>
        <v>-12</v>
      </c>
      <c r="F98" s="43">
        <f>'Cash Flow Drivers'!F72</f>
        <v>-12</v>
      </c>
      <c r="G98" s="11">
        <f ca="1">'Cash Flow Drivers'!G72</f>
        <v>-12.363871255038806</v>
      </c>
      <c r="H98" s="11">
        <f ca="1">'Cash Flow Drivers'!H72</f>
        <v>-12.823564333414502</v>
      </c>
      <c r="I98" s="11">
        <f ca="1">'Cash Flow Drivers'!I72</f>
        <v>-13.312694875977224</v>
      </c>
      <c r="J98" s="11">
        <f ca="1">'Cash Flow Drivers'!J72</f>
        <v>-14.044782864356648</v>
      </c>
      <c r="K98" s="11">
        <f ca="1">'Cash Flow Drivers'!K72</f>
        <v>-14.82685280775036</v>
      </c>
    </row>
    <row r="99" spans="2:11" x14ac:dyDescent="0.25">
      <c r="B99" s="15" t="s">
        <v>54</v>
      </c>
      <c r="C99" s="43">
        <f>'Cash Flow Drivers'!C74</f>
        <v>-12</v>
      </c>
      <c r="D99" s="43">
        <f>'Cash Flow Drivers'!D74</f>
        <v>-8</v>
      </c>
      <c r="E99" s="43">
        <f>'Cash Flow Drivers'!E74</f>
        <v>-8</v>
      </c>
      <c r="F99" s="43">
        <f>'Cash Flow Drivers'!F74</f>
        <v>-9</v>
      </c>
      <c r="G99" s="11">
        <f ca="1">'Cash Flow Drivers'!G74</f>
        <v>-9.5951278851845547</v>
      </c>
      <c r="H99" s="11">
        <f ca="1">'Cash Flow Drivers'!H74</f>
        <v>-9.9518781120321034</v>
      </c>
      <c r="I99" s="11">
        <f ca="1">'Cash Flow Drivers'!I74</f>
        <v>-10.33147362961939</v>
      </c>
      <c r="J99" s="11">
        <f ca="1">'Cash Flow Drivers'!J74</f>
        <v>-10.899619134114618</v>
      </c>
      <c r="K99" s="11">
        <f ca="1">'Cash Flow Drivers'!K74</f>
        <v>-11.506553723389276</v>
      </c>
    </row>
    <row r="100" spans="2:11" x14ac:dyDescent="0.25">
      <c r="B100" s="3" t="s">
        <v>299</v>
      </c>
      <c r="C100" s="43">
        <f>SUM(CASH_FLOW!C34:C37)</f>
        <v>-103</v>
      </c>
      <c r="D100" s="43">
        <f>SUM(CASH_FLOW!D34:D37)</f>
        <v>487</v>
      </c>
      <c r="E100" s="43">
        <f>SUM(CASH_FLOW!E34:E37)</f>
        <v>-238</v>
      </c>
      <c r="F100" s="43">
        <f>SUM(CASH_FLOW!F34:F37)</f>
        <v>348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2:11" x14ac:dyDescent="0.25">
      <c r="B101" s="6" t="s">
        <v>298</v>
      </c>
      <c r="C101" s="42">
        <f>SUM(CASH_FLOW!C39:C40)</f>
        <v>-6</v>
      </c>
      <c r="D101" s="42">
        <f>SUM(CASH_FLOW!D39:D40)</f>
        <v>-23</v>
      </c>
      <c r="E101" s="42">
        <f>SUM(CASH_FLOW!E39:E40)</f>
        <v>-56</v>
      </c>
      <c r="F101" s="42">
        <f>SUM(CASH_FLOW!F39:F40)</f>
        <v>-56</v>
      </c>
      <c r="G101" s="150">
        <f>'Cash Flow Drivers'!G80</f>
        <v>-56</v>
      </c>
      <c r="H101" s="12">
        <f>'Cash Flow Drivers'!H80</f>
        <v>-56</v>
      </c>
      <c r="I101" s="12">
        <f>'Cash Flow Drivers'!I80</f>
        <v>-56</v>
      </c>
      <c r="J101" s="12">
        <f>'Cash Flow Drivers'!J80</f>
        <v>-56</v>
      </c>
      <c r="K101" s="12">
        <f>'Cash Flow Drivers'!K80</f>
        <v>-56</v>
      </c>
    </row>
    <row r="102" spans="2:11" x14ac:dyDescent="0.25">
      <c r="B102" s="2" t="s">
        <v>29</v>
      </c>
      <c r="C102" s="43">
        <f>SUM(C97:C101)</f>
        <v>-130</v>
      </c>
      <c r="D102" s="43">
        <f>SUM(D97:D101)</f>
        <v>441</v>
      </c>
      <c r="E102" s="43">
        <f>SUM(E97:E101)</f>
        <v>-314</v>
      </c>
      <c r="F102" s="43">
        <f>SUM(F97:F101)</f>
        <v>271</v>
      </c>
      <c r="G102" s="11">
        <f ca="1">SUM(G98:G101)</f>
        <v>-77.958999140223369</v>
      </c>
      <c r="H102" s="11">
        <f t="shared" ref="H102:K102" ca="1" si="36">SUM(H98:H101)</f>
        <v>-78.7754424454466</v>
      </c>
      <c r="I102" s="11">
        <f t="shared" ca="1" si="36"/>
        <v>-79.64416850559661</v>
      </c>
      <c r="J102" s="11">
        <f t="shared" ca="1" si="36"/>
        <v>-80.944401998471264</v>
      </c>
      <c r="K102" s="11">
        <f t="shared" ca="1" si="36"/>
        <v>-82.333406531139644</v>
      </c>
    </row>
    <row r="103" spans="2:11" x14ac:dyDescent="0.25">
      <c r="B103" s="2"/>
      <c r="C103" s="11"/>
      <c r="D103" s="11"/>
      <c r="E103" s="11"/>
      <c r="F103" s="11"/>
      <c r="G103" s="11"/>
      <c r="H103" s="11"/>
      <c r="I103" s="11"/>
      <c r="J103" s="11"/>
      <c r="K103" s="11"/>
    </row>
    <row r="104" spans="2:11" x14ac:dyDescent="0.25">
      <c r="B104" s="2" t="s">
        <v>30</v>
      </c>
      <c r="C104" s="11"/>
      <c r="D104" s="11"/>
      <c r="E104" s="20"/>
      <c r="F104" s="20"/>
      <c r="G104" s="11"/>
      <c r="H104" s="11"/>
      <c r="I104" s="11"/>
      <c r="J104" s="11"/>
      <c r="K104" s="11"/>
    </row>
    <row r="105" spans="2:11" x14ac:dyDescent="0.25">
      <c r="B105" s="3" t="s">
        <v>304</v>
      </c>
      <c r="C105" s="43">
        <f>'Cash Flow Drivers'!C88</f>
        <v>0</v>
      </c>
      <c r="D105" s="43">
        <f>'Cash Flow Drivers'!D88</f>
        <v>-944</v>
      </c>
      <c r="E105" s="43">
        <f>'Cash Flow Drivers'!E88</f>
        <v>-280</v>
      </c>
      <c r="F105" s="43">
        <f>'Cash Flow Drivers'!F88</f>
        <v>-508</v>
      </c>
      <c r="G105" s="11">
        <f>'Cash Flow Drivers'!G88</f>
        <v>-350</v>
      </c>
      <c r="H105" s="11">
        <f>'Cash Flow Drivers'!H88</f>
        <v>0</v>
      </c>
      <c r="I105" s="11">
        <f>'Cash Flow Drivers'!I88</f>
        <v>0</v>
      </c>
      <c r="J105" s="11">
        <f>'Cash Flow Drivers'!J88</f>
        <v>0</v>
      </c>
      <c r="K105" s="11">
        <f>'Cash Flow Drivers'!K88</f>
        <v>0</v>
      </c>
    </row>
    <row r="106" spans="2:11" x14ac:dyDescent="0.25">
      <c r="B106" s="3" t="s">
        <v>308</v>
      </c>
      <c r="C106" s="43">
        <f>CASH_FLOW!C45</f>
        <v>0</v>
      </c>
      <c r="D106" s="43">
        <f>CASH_FLOW!D45</f>
        <v>0</v>
      </c>
      <c r="E106" s="43">
        <f>CASH_FLOW!E45</f>
        <v>-148</v>
      </c>
      <c r="F106" s="43">
        <f>CASH_FLOW!F45</f>
        <v>-192</v>
      </c>
      <c r="G106" s="11">
        <f ca="1">'Cash Flow Drivers'!G91*G89</f>
        <v>-175.93105293862632</v>
      </c>
      <c r="H106" s="11">
        <f ca="1">'Cash Flow Drivers'!H91*H89</f>
        <v>-184.29695362859982</v>
      </c>
      <c r="I106" s="11">
        <f ca="1">'Cash Flow Drivers'!I91*I89</f>
        <v>-193.23987753349942</v>
      </c>
      <c r="J106" s="11">
        <f ca="1">'Cash Flow Drivers'!J91*J89</f>
        <v>-205.90513546931899</v>
      </c>
      <c r="K106" s="11">
        <f ca="1">'Cash Flow Drivers'!K91*K89</f>
        <v>-219.54446836970519</v>
      </c>
    </row>
    <row r="107" spans="2:11" x14ac:dyDescent="0.25">
      <c r="B107" s="3" t="s">
        <v>55</v>
      </c>
      <c r="C107" s="43">
        <f>SUM(CASH_FLOW!C48:C50)</f>
        <v>48</v>
      </c>
      <c r="D107" s="43">
        <f>SUM(CASH_FLOW!D48:D50)</f>
        <v>61</v>
      </c>
      <c r="E107" s="43">
        <f>SUM(CASH_FLOW!E48:E50)</f>
        <v>69</v>
      </c>
      <c r="F107" s="43">
        <f>SUM(CASH_FLOW!F48:F50)</f>
        <v>53</v>
      </c>
      <c r="G107" s="11">
        <f>SUM('Cash Flow Drivers'!C93:C94)</f>
        <v>48</v>
      </c>
      <c r="H107" s="11">
        <f>SUM('Cash Flow Drivers'!D93:D94)</f>
        <v>61</v>
      </c>
      <c r="I107" s="11">
        <f>SUM('Cash Flow Drivers'!E93:E94)</f>
        <v>69</v>
      </c>
      <c r="J107" s="11">
        <f>SUM('Cash Flow Drivers'!F93:F94)</f>
        <v>53</v>
      </c>
      <c r="K107" s="11">
        <f ca="1">SUM('Cash Flow Drivers'!G93:G94)</f>
        <v>45.4</v>
      </c>
    </row>
    <row r="108" spans="2:11" x14ac:dyDescent="0.25">
      <c r="B108" s="3" t="s">
        <v>96</v>
      </c>
      <c r="C108" s="11"/>
      <c r="D108" s="11"/>
      <c r="E108" s="11"/>
      <c r="F108" s="28">
        <f>'Cash Flow Drivers'!F101</f>
        <v>-73</v>
      </c>
      <c r="G108" s="28">
        <f>'Cash Flow Drivers'!G101</f>
        <v>-920.69</v>
      </c>
      <c r="H108" s="28">
        <f ca="1">'Cash Flow Drivers'!H101</f>
        <v>-1230.9142794367526</v>
      </c>
      <c r="I108" s="28">
        <f ca="1">'Cash Flow Drivers'!I101</f>
        <v>-1365.166150064874</v>
      </c>
      <c r="J108" s="28">
        <f ca="1">'Cash Flow Drivers'!J101</f>
        <v>-1624.2082221866528</v>
      </c>
      <c r="K108" s="28">
        <f ca="1">'Cash Flow Drivers'!K101</f>
        <v>-1960.6138417112243</v>
      </c>
    </row>
    <row r="109" spans="2:11" x14ac:dyDescent="0.25">
      <c r="B109" s="99" t="s">
        <v>30</v>
      </c>
      <c r="C109" s="126">
        <f>SUM(C105:C107)</f>
        <v>48</v>
      </c>
      <c r="D109" s="126">
        <f>SUM(D105:D107)</f>
        <v>-883</v>
      </c>
      <c r="E109" s="126">
        <f>SUM(E105:E107)</f>
        <v>-359</v>
      </c>
      <c r="F109" s="126">
        <f>SUM(F105:F108)</f>
        <v>-720</v>
      </c>
      <c r="G109" s="127">
        <f t="shared" ref="G109:K109" ca="1" si="37">SUM(G105:G108)</f>
        <v>-1398.6210529386262</v>
      </c>
      <c r="H109" s="127">
        <f t="shared" ca="1" si="37"/>
        <v>-1354.2112330653524</v>
      </c>
      <c r="I109" s="127">
        <f t="shared" ca="1" si="37"/>
        <v>-1489.4060275983734</v>
      </c>
      <c r="J109" s="127">
        <f t="shared" ca="1" si="37"/>
        <v>-1777.1133576559719</v>
      </c>
      <c r="K109" s="127">
        <f t="shared" ca="1" si="37"/>
        <v>-2134.7583100809293</v>
      </c>
    </row>
    <row r="110" spans="2:11" x14ac:dyDescent="0.25">
      <c r="C110" s="43"/>
      <c r="D110" s="43"/>
      <c r="E110" s="43"/>
      <c r="F110" s="43"/>
      <c r="G110" s="11"/>
      <c r="H110" s="11"/>
      <c r="I110" s="11"/>
      <c r="J110" s="11"/>
      <c r="K110" s="11"/>
    </row>
    <row r="111" spans="2:11" x14ac:dyDescent="0.25">
      <c r="B111" t="s">
        <v>31</v>
      </c>
      <c r="C111" s="43">
        <f>CASH_FLOW!C54</f>
        <v>-6</v>
      </c>
      <c r="D111" s="43">
        <f>CASH_FLOW!D54</f>
        <v>1</v>
      </c>
      <c r="E111" s="43">
        <f>CASH_FLOW!E54</f>
        <v>-4</v>
      </c>
      <c r="F111" s="43">
        <f>CASH_FLOW!F54</f>
        <v>14</v>
      </c>
      <c r="G111" s="24">
        <v>0</v>
      </c>
      <c r="H111" s="24">
        <v>0</v>
      </c>
      <c r="I111" s="24">
        <v>0</v>
      </c>
      <c r="J111" s="24">
        <v>0</v>
      </c>
      <c r="K111" s="24">
        <v>0</v>
      </c>
    </row>
    <row r="112" spans="2:11" x14ac:dyDescent="0.25">
      <c r="C112" s="43"/>
      <c r="D112" s="43"/>
      <c r="E112" s="43"/>
      <c r="F112" s="43"/>
      <c r="G112" s="11"/>
      <c r="H112" s="11"/>
      <c r="I112" s="11"/>
      <c r="J112" s="11"/>
      <c r="K112" s="11"/>
    </row>
    <row r="113" spans="2:11" x14ac:dyDescent="0.25">
      <c r="B113" s="2" t="s">
        <v>32</v>
      </c>
      <c r="C113" s="47">
        <f t="shared" ref="C113:K113" si="38">SUM(C94,C102,C109,C111)</f>
        <v>-2</v>
      </c>
      <c r="D113" s="47">
        <f t="shared" si="38"/>
        <v>71</v>
      </c>
      <c r="E113" s="47">
        <f t="shared" si="38"/>
        <v>73</v>
      </c>
      <c r="F113" s="47">
        <f t="shared" si="38"/>
        <v>449</v>
      </c>
      <c r="G113" s="47">
        <f t="shared" ca="1" si="38"/>
        <v>-428.81897708344263</v>
      </c>
      <c r="H113" s="47">
        <f t="shared" ca="1" si="38"/>
        <v>-124.18102291655759</v>
      </c>
      <c r="I113" s="47">
        <f t="shared" ca="1" si="38"/>
        <v>0</v>
      </c>
      <c r="J113" s="47">
        <f t="shared" ca="1" si="38"/>
        <v>0</v>
      </c>
      <c r="K113" s="47">
        <f t="shared" ca="1" si="38"/>
        <v>0</v>
      </c>
    </row>
    <row r="114" spans="2:11" x14ac:dyDescent="0.25">
      <c r="C114" s="43"/>
      <c r="D114" s="43"/>
      <c r="E114" s="43"/>
      <c r="F114" s="43"/>
      <c r="G114" s="11"/>
      <c r="H114" s="11"/>
      <c r="I114" s="11"/>
      <c r="J114" s="11"/>
      <c r="K114" s="11"/>
    </row>
    <row r="115" spans="2:11" x14ac:dyDescent="0.25">
      <c r="B115" t="s">
        <v>38</v>
      </c>
      <c r="C115" s="43">
        <f>CASH_FLOW!C58</f>
        <v>273</v>
      </c>
      <c r="D115" s="43">
        <f>CASH_FLOW!D58</f>
        <v>271</v>
      </c>
      <c r="E115" s="43">
        <f>CASH_FLOW!E58</f>
        <v>342</v>
      </c>
      <c r="F115" s="43">
        <f>CASH_FLOW!F58</f>
        <v>415</v>
      </c>
      <c r="G115" s="11">
        <f>F116</f>
        <v>864</v>
      </c>
      <c r="H115" s="11">
        <f ca="1">G116</f>
        <v>435.18102291655737</v>
      </c>
      <c r="I115" s="11">
        <f ca="1">H116</f>
        <v>310.99999999999977</v>
      </c>
      <c r="J115" s="11">
        <f ca="1">I116</f>
        <v>310.99999999999977</v>
      </c>
      <c r="K115" s="11">
        <f ca="1">J116</f>
        <v>310.99999999999977</v>
      </c>
    </row>
    <row r="116" spans="2:11" x14ac:dyDescent="0.25">
      <c r="B116" t="s">
        <v>37</v>
      </c>
      <c r="C116" s="43">
        <f>CASH_FLOW!C59</f>
        <v>271</v>
      </c>
      <c r="D116" s="43">
        <f>CASH_FLOW!D59</f>
        <v>342</v>
      </c>
      <c r="E116" s="43">
        <f>CASH_FLOW!E59</f>
        <v>415</v>
      </c>
      <c r="F116" s="43">
        <f>CASH_FLOW!F59</f>
        <v>864</v>
      </c>
      <c r="G116" s="11">
        <f ca="1">G113+G115</f>
        <v>435.18102291655737</v>
      </c>
      <c r="H116" s="11">
        <f ca="1">H113+H115</f>
        <v>310.99999999999977</v>
      </c>
      <c r="I116" s="11">
        <f ca="1">I113+I115</f>
        <v>310.99999999999977</v>
      </c>
      <c r="J116" s="11">
        <f ca="1">J113+J115</f>
        <v>310.99999999999977</v>
      </c>
      <c r="K116" s="11">
        <f ca="1">K113+K115</f>
        <v>310.99999999999977</v>
      </c>
    </row>
    <row r="117" spans="2:11" x14ac:dyDescent="0.25">
      <c r="C117" s="43"/>
      <c r="D117" s="43"/>
      <c r="E117" s="43"/>
      <c r="F117" s="43"/>
      <c r="G117" s="11"/>
      <c r="H117" s="11"/>
      <c r="I117" s="11"/>
      <c r="J117" s="11"/>
      <c r="K117" s="11"/>
    </row>
    <row r="118" spans="2:11" x14ac:dyDescent="0.25">
      <c r="B118" t="s">
        <v>334</v>
      </c>
      <c r="G118" s="4">
        <f>F119</f>
        <v>2553</v>
      </c>
      <c r="H118" s="4">
        <f t="shared" ref="H118:K118" ca="1" si="39">G119</f>
        <v>2124.1810229165576</v>
      </c>
      <c r="I118" s="4">
        <f t="shared" ca="1" si="39"/>
        <v>2000</v>
      </c>
      <c r="J118" s="4">
        <f t="shared" ca="1" si="39"/>
        <v>2000</v>
      </c>
      <c r="K118" s="4">
        <f t="shared" ca="1" si="39"/>
        <v>2000</v>
      </c>
    </row>
    <row r="119" spans="2:11" x14ac:dyDescent="0.25">
      <c r="B119" t="s">
        <v>335</v>
      </c>
      <c r="D119" s="48">
        <f>D52</f>
        <v>2202</v>
      </c>
      <c r="E119" s="48">
        <f>E52</f>
        <v>2523</v>
      </c>
      <c r="F119" s="48">
        <f>F52</f>
        <v>2553</v>
      </c>
      <c r="G119" s="4">
        <f ca="1">F119+G113</f>
        <v>2124.1810229165576</v>
      </c>
      <c r="H119" s="4">
        <f t="shared" ref="H119:K119" ca="1" si="40">G119+H113</f>
        <v>2000</v>
      </c>
      <c r="I119" s="4">
        <f t="shared" ca="1" si="40"/>
        <v>2000</v>
      </c>
      <c r="J119" s="4">
        <f t="shared" ca="1" si="40"/>
        <v>2000</v>
      </c>
      <c r="K119" s="4">
        <f t="shared" ca="1" si="40"/>
        <v>2000</v>
      </c>
    </row>
    <row r="121" spans="2:11" x14ac:dyDescent="0.25">
      <c r="F121" s="4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2E926-C717-4CDE-B4FD-62B2A2C89ED6}">
  <sheetPr>
    <tabColor theme="5" tint="0.39997558519241921"/>
  </sheetPr>
  <dimension ref="A1:E18"/>
  <sheetViews>
    <sheetView workbookViewId="0">
      <selection activeCell="J29" sqref="J29"/>
    </sheetView>
  </sheetViews>
  <sheetFormatPr defaultRowHeight="15" x14ac:dyDescent="0.25"/>
  <cols>
    <col min="1" max="1" width="22.28515625" bestFit="1" customWidth="1"/>
    <col min="2" max="2" width="16.140625" customWidth="1"/>
    <col min="3" max="5" width="13.7109375" bestFit="1" customWidth="1"/>
  </cols>
  <sheetData>
    <row r="1" spans="1:5" x14ac:dyDescent="0.25">
      <c r="A1" t="s">
        <v>526</v>
      </c>
      <c r="B1" t="s">
        <v>530</v>
      </c>
      <c r="C1" t="s">
        <v>447</v>
      </c>
      <c r="D1" t="s">
        <v>489</v>
      </c>
      <c r="E1" t="s">
        <v>448</v>
      </c>
    </row>
    <row r="2" spans="1:5" x14ac:dyDescent="0.25">
      <c r="A2" t="s">
        <v>453</v>
      </c>
      <c r="B2" t="s">
        <v>525</v>
      </c>
      <c r="C2" s="291">
        <f ca="1">Evaluation!F6</f>
        <v>7.8598392883297468</v>
      </c>
      <c r="D2" s="291">
        <f ca="1">Evaluation!G6</f>
        <v>14.767426312662467</v>
      </c>
      <c r="E2" s="291">
        <f ca="1">Evaluation!H6</f>
        <v>21.675013336995185</v>
      </c>
    </row>
    <row r="3" spans="1:5" x14ac:dyDescent="0.25">
      <c r="A3" t="s">
        <v>454</v>
      </c>
      <c r="B3" t="s">
        <v>525</v>
      </c>
      <c r="C3" s="291">
        <f ca="1">Evaluation!F11</f>
        <v>24.855634024281756</v>
      </c>
      <c r="D3" s="291">
        <f ca="1">Evaluation!G11</f>
        <v>46.917120481453786</v>
      </c>
      <c r="E3" s="291">
        <f ca="1">Evaluation!H11</f>
        <v>68.978606938625816</v>
      </c>
    </row>
    <row r="4" spans="1:5" x14ac:dyDescent="0.25">
      <c r="A4" s="289" t="s">
        <v>527</v>
      </c>
      <c r="B4" t="s">
        <v>525</v>
      </c>
      <c r="C4" s="291">
        <f>Evaluation!F19</f>
        <v>25</v>
      </c>
      <c r="D4" s="291">
        <f>Evaluation!G19</f>
        <v>50</v>
      </c>
      <c r="E4" s="291">
        <f>Evaluation!H19</f>
        <v>75</v>
      </c>
    </row>
    <row r="5" spans="1:5" x14ac:dyDescent="0.25">
      <c r="A5" t="str">
        <f>Evaluation!E30</f>
        <v>52-Week Trading Range</v>
      </c>
      <c r="B5" t="s">
        <v>529</v>
      </c>
      <c r="C5" s="114">
        <f ca="1">Evaluation!F30</f>
        <v>68.77</v>
      </c>
      <c r="D5" s="114">
        <f ca="1">Evaluation!G30</f>
        <v>94.317876984126968</v>
      </c>
      <c r="E5" s="114">
        <f ca="1">Evaluation!H30</f>
        <v>127.56699999999999</v>
      </c>
    </row>
    <row r="6" spans="1:5" x14ac:dyDescent="0.25">
      <c r="A6" t="str">
        <f>Evaluation!E31</f>
        <v>Analyst Forecasts</v>
      </c>
      <c r="B6" t="s">
        <v>502</v>
      </c>
      <c r="C6" s="114">
        <f>Evaluation!F31</f>
        <v>75</v>
      </c>
      <c r="D6" s="114">
        <f>Evaluation!G31</f>
        <v>100.95</v>
      </c>
      <c r="E6" s="114">
        <f>Evaluation!H31</f>
        <v>140</v>
      </c>
    </row>
    <row r="7" spans="1:5" x14ac:dyDescent="0.25">
      <c r="A7" t="str">
        <f>Evaluation!E32</f>
        <v>Revenue Comparables</v>
      </c>
      <c r="B7" t="s">
        <v>502</v>
      </c>
      <c r="C7" s="114">
        <f ca="1">Evaluation!F32</f>
        <v>137.44682451994774</v>
      </c>
      <c r="D7" s="114">
        <f ca="1">Evaluation!G32</f>
        <v>247.44270245217996</v>
      </c>
      <c r="E7" s="114">
        <f ca="1">Evaluation!H32</f>
        <v>357.43858038441215</v>
      </c>
    </row>
    <row r="8" spans="1:5" x14ac:dyDescent="0.25">
      <c r="A8" t="str">
        <f>Evaluation!E33</f>
        <v>EBITDA Comparables</v>
      </c>
      <c r="B8" t="s">
        <v>502</v>
      </c>
      <c r="C8" s="114">
        <f ca="1">Evaluation!F33</f>
        <v>46.252609381164767</v>
      </c>
      <c r="D8" s="114">
        <f ca="1">Evaluation!G33</f>
        <v>76.399657080462816</v>
      </c>
      <c r="E8" s="114">
        <f ca="1">Evaluation!H33</f>
        <v>106.54670477976086</v>
      </c>
    </row>
    <row r="9" spans="1:5" x14ac:dyDescent="0.25">
      <c r="A9" t="str">
        <f>Evaluation!E34</f>
        <v>Forward PE (2027)</v>
      </c>
      <c r="B9" t="s">
        <v>502</v>
      </c>
      <c r="C9" s="114">
        <f>Evaluation!F34</f>
        <v>60.669343077687202</v>
      </c>
      <c r="D9" s="114">
        <f>Evaluation!G34</f>
        <v>121.3386861553744</v>
      </c>
      <c r="E9" s="114">
        <f>Evaluation!H34</f>
        <v>182.00802923306159</v>
      </c>
    </row>
    <row r="10" spans="1:5" x14ac:dyDescent="0.25">
      <c r="A10" t="str">
        <f>Evaluation!E35</f>
        <v>Forward PE (2028)</v>
      </c>
      <c r="B10" t="s">
        <v>502</v>
      </c>
      <c r="C10" s="114">
        <f>Evaluation!F35</f>
        <v>76.725533719829571</v>
      </c>
      <c r="D10" s="114">
        <f>Evaluation!G35</f>
        <v>153.45106743965914</v>
      </c>
      <c r="E10" s="114">
        <f>Evaluation!H35</f>
        <v>230.17660115948871</v>
      </c>
    </row>
    <row r="11" spans="1:5" x14ac:dyDescent="0.25">
      <c r="A11" t="str">
        <f>Evaluation!E36</f>
        <v>DCF Implied Share Price</v>
      </c>
      <c r="B11" t="s">
        <v>502</v>
      </c>
      <c r="C11" s="114">
        <f>Evaluation!F36</f>
        <v>65.585233420715042</v>
      </c>
      <c r="D11" s="114">
        <f>Evaluation!G36</f>
        <v>91.250409950359739</v>
      </c>
      <c r="E11" s="114">
        <f>Evaluation!H36</f>
        <v>163.81327179429974</v>
      </c>
    </row>
    <row r="12" spans="1:5" x14ac:dyDescent="0.25">
      <c r="A12" t="str">
        <f>Evaluation!E37</f>
        <v>Estimate</v>
      </c>
      <c r="B12" t="s">
        <v>502</v>
      </c>
      <c r="C12" s="114">
        <f ca="1">Evaluation!F37</f>
        <v>67.200852969296562</v>
      </c>
      <c r="D12" s="114">
        <f ca="1">Evaluation!G37</f>
        <v>107.67019241381973</v>
      </c>
      <c r="E12" s="114">
        <f ca="1">Evaluation!H37</f>
        <v>171.58837451549056</v>
      </c>
    </row>
    <row r="13" spans="1:5" x14ac:dyDescent="0.25">
      <c r="A13" t="str">
        <f>Evaluation!E32</f>
        <v>Revenue Comparables</v>
      </c>
      <c r="B13" t="s">
        <v>528</v>
      </c>
      <c r="C13" s="20">
        <f>Evaluation!$C32</f>
        <v>0.1</v>
      </c>
      <c r="D13" s="20">
        <f>Evaluation!$C32</f>
        <v>0.1</v>
      </c>
      <c r="E13" s="20">
        <f>Evaluation!$C32</f>
        <v>0.1</v>
      </c>
    </row>
    <row r="14" spans="1:5" x14ac:dyDescent="0.25">
      <c r="A14" t="str">
        <f>Evaluation!E33</f>
        <v>EBITDA Comparables</v>
      </c>
      <c r="B14" t="s">
        <v>528</v>
      </c>
      <c r="C14" s="20">
        <f>Evaluation!$C33</f>
        <v>0.25</v>
      </c>
      <c r="D14" s="20">
        <f>Evaluation!$C33</f>
        <v>0.25</v>
      </c>
      <c r="E14" s="20">
        <f>Evaluation!$C33</f>
        <v>0.25</v>
      </c>
    </row>
    <row r="15" spans="1:5" x14ac:dyDescent="0.25">
      <c r="A15" t="str">
        <f>Evaluation!E34</f>
        <v>Forward PE (2027)</v>
      </c>
      <c r="B15" t="s">
        <v>528</v>
      </c>
      <c r="C15" s="20">
        <f>Evaluation!$C34</f>
        <v>0.15</v>
      </c>
      <c r="D15" s="20">
        <f>Evaluation!$C34</f>
        <v>0.15</v>
      </c>
      <c r="E15" s="20">
        <f>Evaluation!$C34</f>
        <v>0.15</v>
      </c>
    </row>
    <row r="16" spans="1:5" x14ac:dyDescent="0.25">
      <c r="A16" t="str">
        <f>Evaluation!E35</f>
        <v>Forward PE (2028)</v>
      </c>
      <c r="B16" t="s">
        <v>528</v>
      </c>
      <c r="C16" s="20">
        <f>Evaluation!$C35</f>
        <v>0</v>
      </c>
      <c r="D16" s="20">
        <f>Evaluation!$C35</f>
        <v>0</v>
      </c>
      <c r="E16" s="20">
        <f>Evaluation!$C35</f>
        <v>0</v>
      </c>
    </row>
    <row r="17" spans="1:5" x14ac:dyDescent="0.25">
      <c r="A17" t="str">
        <f>Evaluation!E36</f>
        <v>DCF Implied Share Price</v>
      </c>
      <c r="B17" t="s">
        <v>528</v>
      </c>
      <c r="C17" s="20">
        <f>Evaluation!$C36</f>
        <v>0.5</v>
      </c>
      <c r="D17" s="20">
        <f>Evaluation!$C36</f>
        <v>0.5</v>
      </c>
      <c r="E17" s="20">
        <f>Evaluation!$C36</f>
        <v>0.5</v>
      </c>
    </row>
    <row r="18" spans="1:5" x14ac:dyDescent="0.25">
      <c r="B18" s="29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F789-2908-46A9-BCBB-7C53A4CC7A54}">
  <sheetPr>
    <tabColor theme="5" tint="0.39997558519241921"/>
  </sheetPr>
  <dimension ref="A1:J116"/>
  <sheetViews>
    <sheetView workbookViewId="0">
      <selection activeCell="H7" sqref="H7"/>
    </sheetView>
  </sheetViews>
  <sheetFormatPr defaultRowHeight="15" x14ac:dyDescent="0.25"/>
  <sheetData>
    <row r="1" spans="1:10" x14ac:dyDescent="0.25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 x14ac:dyDescent="0.25">
      <c r="B2" s="21"/>
      <c r="C2" s="21"/>
      <c r="D2" s="21"/>
      <c r="E2" s="21"/>
      <c r="F2" s="21"/>
      <c r="G2" s="21"/>
      <c r="H2" s="21"/>
      <c r="I2" s="21"/>
      <c r="J2" s="21"/>
    </row>
    <row r="3" spans="1:10" x14ac:dyDescent="0.25">
      <c r="A3" s="2" t="s">
        <v>0</v>
      </c>
    </row>
    <row r="4" spans="1:10" x14ac:dyDescent="0.25">
      <c r="A4" s="2" t="s">
        <v>19</v>
      </c>
    </row>
    <row r="5" spans="1:10" x14ac:dyDescent="0.25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3384.9337500000006</v>
      </c>
      <c r="H5" s="11">
        <v>3650.4187500000007</v>
      </c>
      <c r="I5" s="11">
        <v>4015.4606250000011</v>
      </c>
      <c r="J5" s="11">
        <v>4417.0066875000011</v>
      </c>
    </row>
    <row r="6" spans="1:10" x14ac:dyDescent="0.25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31.412500000000001</v>
      </c>
      <c r="G6" s="11">
        <v>33.849337500000004</v>
      </c>
      <c r="H6" s="11">
        <v>36.504187500000008</v>
      </c>
      <c r="I6" s="11">
        <v>40.154606250000015</v>
      </c>
      <c r="J6" s="11">
        <v>44.17006687500001</v>
      </c>
    </row>
    <row r="7" spans="1:10" x14ac:dyDescent="0.25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3172.6624999999999</v>
      </c>
      <c r="G7" s="14">
        <v>3418.7830875000004</v>
      </c>
      <c r="H7" s="14">
        <v>3686.9229375000009</v>
      </c>
      <c r="I7" s="14">
        <v>4055.6152312500012</v>
      </c>
      <c r="J7" s="14">
        <v>4461.1767543750011</v>
      </c>
    </row>
    <row r="9" spans="1:10" x14ac:dyDescent="0.25">
      <c r="A9" s="8" t="s">
        <v>43</v>
      </c>
    </row>
    <row r="10" spans="1:10" x14ac:dyDescent="0.25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-676.98675000000014</v>
      </c>
      <c r="H10" s="11">
        <v>-730.08375000000024</v>
      </c>
      <c r="I10" s="11">
        <v>-803.09212500000024</v>
      </c>
      <c r="J10" s="11">
        <v>-883.4013375000003</v>
      </c>
    </row>
    <row r="11" spans="1:10" x14ac:dyDescent="0.25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-40.977384346563696</v>
      </c>
      <c r="G11" s="12">
        <v>-44.156221651064122</v>
      </c>
      <c r="H11" s="12">
        <v>-47.619454721735821</v>
      </c>
      <c r="I11" s="12">
        <v>-52.381400193909407</v>
      </c>
      <c r="J11" s="12">
        <v>-57.61954021330034</v>
      </c>
    </row>
    <row r="12" spans="1:10" x14ac:dyDescent="0.25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-669.22738434656367</v>
      </c>
      <c r="G12" s="13">
        <v>-721.14297165106427</v>
      </c>
      <c r="H12" s="13">
        <v>-777.70320472173603</v>
      </c>
      <c r="I12" s="13">
        <v>-855.47352519390961</v>
      </c>
      <c r="J12" s="13">
        <v>-941.02087771330059</v>
      </c>
    </row>
    <row r="14" spans="1:10" x14ac:dyDescent="0.25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2503.4351156534362</v>
      </c>
      <c r="G14" s="14">
        <v>2697.6401158489361</v>
      </c>
      <c r="H14" s="14">
        <v>2909.2197327782651</v>
      </c>
      <c r="I14" s="14">
        <v>3200.1417060560916</v>
      </c>
      <c r="J14" s="14">
        <v>3520.1558766617004</v>
      </c>
    </row>
    <row r="16" spans="1:10" x14ac:dyDescent="0.25">
      <c r="A16" s="2" t="s">
        <v>45</v>
      </c>
    </row>
    <row r="17" spans="1:10" x14ac:dyDescent="0.25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-659.80293615107905</v>
      </c>
      <c r="G17" s="11">
        <v>-675.43804714064106</v>
      </c>
      <c r="H17" s="11">
        <v>-691.99290123722551</v>
      </c>
      <c r="I17" s="11">
        <v>-723.13258179290074</v>
      </c>
      <c r="J17" s="11">
        <v>-755.67354797358121</v>
      </c>
    </row>
    <row r="18" spans="1:10" x14ac:dyDescent="0.25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-1051.1414538369304</v>
      </c>
      <c r="G18" s="11">
        <v>-1076.0499718140416</v>
      </c>
      <c r="H18" s="11">
        <v>-1102.4237456330131</v>
      </c>
      <c r="I18" s="11">
        <v>-1152.0328141864989</v>
      </c>
      <c r="J18" s="11">
        <v>-1203.874290824891</v>
      </c>
    </row>
    <row r="19" spans="1:10" x14ac:dyDescent="0.25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-448.84829872504866</v>
      </c>
      <c r="G19" s="11">
        <v>-449.8992282137159</v>
      </c>
      <c r="H19" s="11">
        <v>-450.93705803658492</v>
      </c>
      <c r="I19" s="11">
        <v>-451.38799509462149</v>
      </c>
      <c r="J19" s="11">
        <v>-451.83938308971614</v>
      </c>
    </row>
    <row r="20" spans="1:10" x14ac:dyDescent="0.25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-3.1726624999999999</v>
      </c>
      <c r="G20" s="12">
        <v>-3.4187830875000005</v>
      </c>
      <c r="H20" s="12">
        <v>-3.6869229375000008</v>
      </c>
      <c r="I20" s="12">
        <v>-4.0556152312500009</v>
      </c>
      <c r="J20" s="12">
        <v>-4.4611767543750016</v>
      </c>
    </row>
    <row r="21" spans="1:10" x14ac:dyDescent="0.25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-2162.9653512130581</v>
      </c>
      <c r="G21" s="11">
        <v>-2204.8060302558983</v>
      </c>
      <c r="H21" s="11">
        <v>-2249.0406278443238</v>
      </c>
      <c r="I21" s="11">
        <v>-2330.6090063052711</v>
      </c>
      <c r="J21" s="11">
        <v>-2415.8483986425636</v>
      </c>
    </row>
    <row r="22" spans="1:10" x14ac:dyDescent="0.25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 x14ac:dyDescent="0.25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340.46976444037819</v>
      </c>
      <c r="G23" s="14">
        <v>492.8340855930378</v>
      </c>
      <c r="H23" s="14">
        <v>660.17910493394129</v>
      </c>
      <c r="I23" s="14">
        <v>869.53269975082048</v>
      </c>
      <c r="J23" s="14">
        <v>1104.3074780191369</v>
      </c>
    </row>
    <row r="24" spans="1:10" x14ac:dyDescent="0.25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0.10731357793032767</v>
      </c>
      <c r="G24" s="22">
        <v>0.14415482731120705</v>
      </c>
      <c r="H24" s="22">
        <v>0.17905964299367488</v>
      </c>
      <c r="I24" s="22">
        <v>0.21440216839377474</v>
      </c>
      <c r="J24" s="22">
        <v>0.24753726176308999</v>
      </c>
    </row>
    <row r="26" spans="1:10" x14ac:dyDescent="0.25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406.46976444037819</v>
      </c>
      <c r="G26" s="25">
        <v>538.87604505489935</v>
      </c>
      <c r="H26" s="25">
        <v>699.66328797169842</v>
      </c>
      <c r="I26" s="25">
        <v>896.83234086821517</v>
      </c>
      <c r="J26" s="25">
        <v>1129.4592771970001</v>
      </c>
    </row>
    <row r="27" spans="1:10" x14ac:dyDescent="0.25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0.12811629489123982</v>
      </c>
      <c r="G27" s="22">
        <v>0.15762218054288865</v>
      </c>
      <c r="H27" s="22">
        <v>0.1897688939617817</v>
      </c>
      <c r="I27" s="22">
        <v>0.22113348770312169</v>
      </c>
      <c r="J27" s="22">
        <v>0.25317519107248065</v>
      </c>
    </row>
    <row r="29" spans="1:10" x14ac:dyDescent="0.25">
      <c r="B29" s="37"/>
      <c r="C29" s="37"/>
      <c r="D29" s="37"/>
      <c r="E29" s="37"/>
      <c r="F29" s="37"/>
      <c r="G29" s="37"/>
      <c r="H29" s="37"/>
      <c r="I29" s="37"/>
      <c r="J29" s="37"/>
    </row>
    <row r="30" spans="1:10" x14ac:dyDescent="0.25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83.18532395940926</v>
      </c>
      <c r="H30" s="12">
        <v>80</v>
      </c>
      <c r="I30" s="12">
        <v>80</v>
      </c>
      <c r="J30" s="12">
        <v>80</v>
      </c>
    </row>
    <row r="31" spans="1:10" x14ac:dyDescent="0.25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442.58976444037819</v>
      </c>
      <c r="G31" s="11">
        <v>576.01940955244709</v>
      </c>
      <c r="H31" s="11">
        <v>740.17910493394129</v>
      </c>
      <c r="I31" s="11">
        <v>949.53269975082048</v>
      </c>
      <c r="J31" s="11">
        <v>1184.3074780191369</v>
      </c>
    </row>
    <row r="32" spans="1:10" x14ac:dyDescent="0.25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 x14ac:dyDescent="0.25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420.58976444037819</v>
      </c>
      <c r="G33" s="14">
        <v>552.01940955244709</v>
      </c>
      <c r="H33" s="14">
        <v>714.17910493394129</v>
      </c>
      <c r="I33" s="14">
        <v>921.53269975082048</v>
      </c>
      <c r="J33" s="14">
        <v>1156.3074780191369</v>
      </c>
    </row>
    <row r="34" spans="1:10" x14ac:dyDescent="0.25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0.13256681555015012</v>
      </c>
      <c r="G34" s="22">
        <v>0.16146663752104659</v>
      </c>
      <c r="H34" s="22">
        <v>0.1937060028214764</v>
      </c>
      <c r="I34" s="22">
        <v>0.2272238975359579</v>
      </c>
      <c r="J34" s="22">
        <v>0.25919337916507468</v>
      </c>
    </row>
    <row r="35" spans="1:10" x14ac:dyDescent="0.25">
      <c r="F35" s="25"/>
      <c r="G35" s="25"/>
      <c r="H35" s="25"/>
      <c r="I35" s="25"/>
      <c r="J35" s="25"/>
    </row>
    <row r="36" spans="1:10" x14ac:dyDescent="0.25">
      <c r="A36" s="2" t="s">
        <v>396</v>
      </c>
      <c r="C36" s="37"/>
      <c r="D36" s="37"/>
      <c r="E36" s="37"/>
    </row>
    <row r="37" spans="1:10" x14ac:dyDescent="0.25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 x14ac:dyDescent="0.25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 x14ac:dyDescent="0.25">
      <c r="B39" s="36"/>
      <c r="C39" s="22"/>
      <c r="D39" s="22"/>
      <c r="E39" s="22"/>
    </row>
    <row r="40" spans="1:10" x14ac:dyDescent="0.25">
      <c r="A40" s="2" t="s">
        <v>399</v>
      </c>
      <c r="B40" s="36"/>
      <c r="C40" s="36"/>
      <c r="D40" s="36"/>
      <c r="E40" s="36"/>
    </row>
    <row r="41" spans="1:10" x14ac:dyDescent="0.25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2.4644125230992344</v>
      </c>
      <c r="G41" s="18">
        <v>3.1184164979527811</v>
      </c>
      <c r="H41" s="18">
        <v>3.8896629884120872</v>
      </c>
      <c r="I41" s="18">
        <v>4.8388331657361219</v>
      </c>
      <c r="J41" s="18">
        <v>5.853670817809852</v>
      </c>
    </row>
    <row r="42" spans="1:10" x14ac:dyDescent="0.25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2.4279926335953048</v>
      </c>
      <c r="G42" s="18">
        <v>3.0875410870819611</v>
      </c>
      <c r="H42" s="18">
        <v>3.8511514736753338</v>
      </c>
      <c r="I42" s="18">
        <v>4.7909239264714083</v>
      </c>
      <c r="J42" s="18">
        <v>5.7957136809998531</v>
      </c>
    </row>
    <row r="43" spans="1:10" x14ac:dyDescent="0.25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0.85294174669115352</v>
      </c>
      <c r="G43" s="20">
        <v>0.26537926127362566</v>
      </c>
      <c r="H43" s="20">
        <v>0.24731991091171568</v>
      </c>
      <c r="I43" s="20">
        <v>0.24402375736709336</v>
      </c>
      <c r="J43" s="20">
        <v>0.20972776231671242</v>
      </c>
    </row>
    <row r="46" spans="1:10" x14ac:dyDescent="0.25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 x14ac:dyDescent="0.25">
      <c r="A47" s="1"/>
      <c r="D47" s="20"/>
      <c r="E47" s="20"/>
    </row>
    <row r="48" spans="1:10" x14ac:dyDescent="0.25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 x14ac:dyDescent="0.25">
      <c r="A49" s="3" t="s">
        <v>302</v>
      </c>
      <c r="C49" s="48">
        <v>2202</v>
      </c>
      <c r="D49" s="48">
        <v>2523</v>
      </c>
      <c r="E49" s="48">
        <v>2553</v>
      </c>
      <c r="F49" s="135">
        <v>2079.6330989852313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 x14ac:dyDescent="0.25">
      <c r="A50" s="3" t="s">
        <v>2</v>
      </c>
      <c r="C50" s="49">
        <v>559</v>
      </c>
      <c r="D50" s="49">
        <v>621</v>
      </c>
      <c r="E50" s="49">
        <v>687</v>
      </c>
      <c r="F50" s="5">
        <v>739.23362320143883</v>
      </c>
      <c r="G50" s="5">
        <v>788.61417330879112</v>
      </c>
      <c r="H50" s="5">
        <v>841.96160267968003</v>
      </c>
      <c r="I50" s="5">
        <v>916.89618531817166</v>
      </c>
      <c r="J50" s="5">
        <v>998.49994581148894</v>
      </c>
    </row>
    <row r="51" spans="1:10" x14ac:dyDescent="0.25">
      <c r="A51" s="3" t="s">
        <v>49</v>
      </c>
      <c r="C51" s="49">
        <v>355</v>
      </c>
      <c r="D51" s="49">
        <v>407</v>
      </c>
      <c r="E51" s="49">
        <v>503</v>
      </c>
      <c r="F51" s="5">
        <v>540.95199149832411</v>
      </c>
      <c r="G51" s="5">
        <v>595.04719064815652</v>
      </c>
      <c r="H51" s="5">
        <v>654.55190971297225</v>
      </c>
      <c r="I51" s="5">
        <v>720.00710068426952</v>
      </c>
      <c r="J51" s="5">
        <v>792.0078107526964</v>
      </c>
    </row>
    <row r="52" spans="1:10" x14ac:dyDescent="0.25">
      <c r="A52" s="3" t="s">
        <v>272</v>
      </c>
      <c r="C52" s="49">
        <v>106</v>
      </c>
      <c r="D52" s="49">
        <v>132</v>
      </c>
      <c r="E52" s="49">
        <v>233</v>
      </c>
      <c r="F52" s="5">
        <v>275.62366844729456</v>
      </c>
      <c r="G52" s="5">
        <v>319.70758737101767</v>
      </c>
      <c r="H52" s="5">
        <v>364.67595344653182</v>
      </c>
      <c r="I52" s="5">
        <v>411.27523568132131</v>
      </c>
      <c r="J52" s="5">
        <v>459.57883403704795</v>
      </c>
    </row>
    <row r="53" spans="1:10" x14ac:dyDescent="0.25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 x14ac:dyDescent="0.25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 x14ac:dyDescent="0.25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 x14ac:dyDescent="0.25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91.623668447294591</v>
      </c>
      <c r="G56" s="147">
        <v>91.623668447294591</v>
      </c>
      <c r="H56" s="147">
        <v>91.623668447294591</v>
      </c>
      <c r="I56" s="147">
        <v>91.623668447294591</v>
      </c>
      <c r="J56" s="147">
        <v>91.623668447294591</v>
      </c>
    </row>
    <row r="57" spans="1:10" x14ac:dyDescent="0.25">
      <c r="A57" s="2" t="s">
        <v>3</v>
      </c>
      <c r="C57" s="51">
        <v>8989</v>
      </c>
      <c r="D57" s="51">
        <v>9437</v>
      </c>
      <c r="E57" s="51">
        <v>9710</v>
      </c>
      <c r="F57" s="131">
        <v>9372.066050579584</v>
      </c>
      <c r="G57" s="131">
        <v>9462.9926197752611</v>
      </c>
      <c r="H57" s="131">
        <v>9650.8131342864799</v>
      </c>
      <c r="I57" s="131">
        <v>9889.8021901310585</v>
      </c>
      <c r="J57" s="131">
        <v>10146.710259048528</v>
      </c>
    </row>
    <row r="58" spans="1:10" x14ac:dyDescent="0.25">
      <c r="D58" s="5"/>
      <c r="E58" s="5"/>
      <c r="F58" s="5"/>
    </row>
    <row r="59" spans="1:10" x14ac:dyDescent="0.25">
      <c r="A59" s="8" t="s">
        <v>4</v>
      </c>
    </row>
    <row r="60" spans="1:10" x14ac:dyDescent="0.25">
      <c r="A60" s="3" t="s">
        <v>6</v>
      </c>
      <c r="C60" s="43">
        <v>-12</v>
      </c>
      <c r="D60" s="43">
        <v>-13</v>
      </c>
      <c r="E60" s="43">
        <v>-12</v>
      </c>
      <c r="F60" s="11">
        <v>-12.691652805693211</v>
      </c>
      <c r="G60" s="11">
        <v>-12.936076123394065</v>
      </c>
      <c r="H60" s="11">
        <v>-13.194437502071002</v>
      </c>
      <c r="I60" s="11">
        <v>-13.671593587537423</v>
      </c>
      <c r="J60" s="11">
        <v>-14.170105103247705</v>
      </c>
    </row>
    <row r="61" spans="1:10" x14ac:dyDescent="0.25">
      <c r="A61" s="3" t="s">
        <v>5</v>
      </c>
      <c r="C61" s="43">
        <v>-115</v>
      </c>
      <c r="D61" s="43">
        <v>-103</v>
      </c>
      <c r="E61" s="43">
        <v>-104</v>
      </c>
      <c r="F61" s="11">
        <v>-105.98530220943985</v>
      </c>
      <c r="G61" s="11">
        <v>-108.03549548253902</v>
      </c>
      <c r="H61" s="11">
        <v>-110.20299076437188</v>
      </c>
      <c r="I61" s="11">
        <v>-114.19984130895828</v>
      </c>
      <c r="J61" s="11">
        <v>-118.37657153348562</v>
      </c>
    </row>
    <row r="62" spans="1:10" x14ac:dyDescent="0.25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 x14ac:dyDescent="0.25">
      <c r="A63" s="3"/>
      <c r="C63" s="45"/>
      <c r="D63" s="45"/>
      <c r="E63" s="45"/>
      <c r="F63" s="11"/>
      <c r="G63" s="11"/>
      <c r="H63" s="11"/>
      <c r="I63" s="11"/>
    </row>
    <row r="64" spans="1:10" x14ac:dyDescent="0.25">
      <c r="A64" s="3" t="s">
        <v>110</v>
      </c>
      <c r="C64" s="43">
        <v>-167</v>
      </c>
      <c r="D64" s="43">
        <v>-207</v>
      </c>
      <c r="E64" s="43">
        <v>-213</v>
      </c>
      <c r="F64" s="11">
        <v>-218.45027017941271</v>
      </c>
      <c r="G64" s="11">
        <v>-222.6760002107664</v>
      </c>
      <c r="H64" s="11">
        <v>-227.14350579935561</v>
      </c>
      <c r="I64" s="11">
        <v>-235.38156393694774</v>
      </c>
      <c r="J64" s="11">
        <v>-243.99037881027314</v>
      </c>
    </row>
    <row r="65" spans="1:10" x14ac:dyDescent="0.25">
      <c r="A65" s="3" t="s">
        <v>50</v>
      </c>
      <c r="C65" s="43">
        <v>-1511</v>
      </c>
      <c r="D65" s="43">
        <v>-1718</v>
      </c>
      <c r="E65" s="43">
        <v>-1905</v>
      </c>
      <c r="F65" s="11">
        <v>-2030.9602500000005</v>
      </c>
      <c r="G65" s="11">
        <v>-2190.2512500000003</v>
      </c>
      <c r="H65" s="11">
        <v>-2409.2763750000008</v>
      </c>
      <c r="I65" s="11">
        <v>-2650.2040125000008</v>
      </c>
      <c r="J65" s="11">
        <v>-2915.2244137500011</v>
      </c>
    </row>
    <row r="66" spans="1:10" x14ac:dyDescent="0.25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 x14ac:dyDescent="0.25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-55.964240903076814</v>
      </c>
      <c r="J67" s="12">
        <v>-62.817005095290305</v>
      </c>
    </row>
    <row r="68" spans="1:10" x14ac:dyDescent="0.25">
      <c r="A68" s="9" t="s">
        <v>10</v>
      </c>
      <c r="C68" s="52">
        <v>-3101</v>
      </c>
      <c r="D68" s="52">
        <v>-3032</v>
      </c>
      <c r="E68" s="52">
        <v>-2711</v>
      </c>
      <c r="F68" s="132">
        <v>-2434.9115992424895</v>
      </c>
      <c r="G68" s="132">
        <v>-2615.2093954400807</v>
      </c>
      <c r="H68" s="132">
        <v>-2840.5919238926945</v>
      </c>
      <c r="I68" s="132">
        <v>-3100.421252236521</v>
      </c>
      <c r="J68" s="132">
        <v>-3385.5784742922979</v>
      </c>
    </row>
    <row r="69" spans="1:10" x14ac:dyDescent="0.25">
      <c r="A69" s="3"/>
      <c r="C69" s="85"/>
      <c r="D69" s="46"/>
      <c r="E69" s="46"/>
    </row>
    <row r="70" spans="1:10" x14ac:dyDescent="0.25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-6937.1544513370936</v>
      </c>
      <c r="G70" s="136">
        <v>-6847.7832243351804</v>
      </c>
      <c r="H70" s="136">
        <v>-6810.2212103937836</v>
      </c>
      <c r="I70" s="136">
        <v>-6789.3809378945352</v>
      </c>
      <c r="J70" s="136">
        <v>-6761.1317847562295</v>
      </c>
    </row>
    <row r="71" spans="1:10" x14ac:dyDescent="0.25">
      <c r="A71" s="8" t="s">
        <v>12</v>
      </c>
      <c r="C71" s="54">
        <v>-5888</v>
      </c>
      <c r="D71" s="54">
        <v>-6405</v>
      </c>
      <c r="E71" s="54">
        <v>-6999</v>
      </c>
      <c r="F71" s="137">
        <v>-6937.1544513370936</v>
      </c>
      <c r="G71" s="137">
        <v>-6847.7832243351804</v>
      </c>
      <c r="H71" s="137">
        <v>-6810.2212103937836</v>
      </c>
      <c r="I71" s="137">
        <v>-6789.3809378945352</v>
      </c>
      <c r="J71" s="137">
        <v>-6761.1317847562295</v>
      </c>
    </row>
    <row r="72" spans="1:10" x14ac:dyDescent="0.25">
      <c r="C72" s="53"/>
      <c r="D72" s="53"/>
      <c r="E72" s="53"/>
      <c r="F72" s="138"/>
      <c r="G72" s="138"/>
      <c r="H72" s="138"/>
      <c r="I72" s="138"/>
      <c r="J72" s="138"/>
    </row>
    <row r="73" spans="1:10" x14ac:dyDescent="0.25">
      <c r="A73" s="2" t="s">
        <v>13</v>
      </c>
      <c r="C73" s="51">
        <v>-8989</v>
      </c>
      <c r="D73" s="51">
        <v>-9437</v>
      </c>
      <c r="E73" s="51">
        <v>-9710</v>
      </c>
      <c r="F73" s="131">
        <v>-9372.0660505795822</v>
      </c>
      <c r="G73" s="131">
        <v>-9462.9926197752611</v>
      </c>
      <c r="H73" s="131">
        <v>-9650.8131342864781</v>
      </c>
      <c r="I73" s="131">
        <v>-9889.8021901310567</v>
      </c>
      <c r="J73" s="131">
        <v>-10146.710259048526</v>
      </c>
    </row>
    <row r="74" spans="1:10" x14ac:dyDescent="0.25">
      <c r="C74" s="53"/>
      <c r="D74" s="53"/>
      <c r="E74" s="53"/>
      <c r="F74" s="138"/>
      <c r="G74" s="138"/>
      <c r="H74" s="138"/>
      <c r="I74" s="138"/>
      <c r="J74" s="138"/>
    </row>
    <row r="75" spans="1:10" x14ac:dyDescent="0.25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 x14ac:dyDescent="0.25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 x14ac:dyDescent="0.25">
      <c r="B77" s="4"/>
      <c r="C77" s="48"/>
      <c r="D77" s="48"/>
      <c r="E77" s="48"/>
    </row>
    <row r="78" spans="1:10" x14ac:dyDescent="0.25">
      <c r="F78" s="4"/>
      <c r="G78" s="4"/>
      <c r="H78" s="4"/>
      <c r="I78" s="4"/>
      <c r="J78" s="4"/>
    </row>
    <row r="79" spans="1:10" x14ac:dyDescent="0.25">
      <c r="F79" s="135"/>
      <c r="G79" s="135"/>
      <c r="H79" s="135"/>
      <c r="I79" s="135"/>
      <c r="J79" s="135"/>
    </row>
    <row r="81" spans="1:10" x14ac:dyDescent="0.25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 x14ac:dyDescent="0.25">
      <c r="A83" s="2" t="s">
        <v>27</v>
      </c>
    </row>
    <row r="84" spans="1:10" x14ac:dyDescent="0.25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420.58976444037819</v>
      </c>
      <c r="G84" s="11">
        <v>552.01940955244709</v>
      </c>
      <c r="H84" s="11">
        <v>714.17910493394129</v>
      </c>
      <c r="I84" s="11">
        <v>921.53269975082048</v>
      </c>
      <c r="J84" s="11">
        <v>1156.3074780191369</v>
      </c>
    </row>
    <row r="85" spans="1:10" x14ac:dyDescent="0.25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46.041959461861531</v>
      </c>
      <c r="H85" s="148">
        <v>39.484183037757084</v>
      </c>
      <c r="I85" s="148">
        <v>27.299641117394728</v>
      </c>
      <c r="J85" s="148">
        <v>25.151799177863317</v>
      </c>
    </row>
    <row r="86" spans="1:10" x14ac:dyDescent="0.25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563.499138250594</v>
      </c>
      <c r="G86" s="11">
        <v>580.1435331988805</v>
      </c>
      <c r="H86" s="11">
        <v>597.70066927562698</v>
      </c>
      <c r="I86" s="11">
        <v>625.57190434833524</v>
      </c>
      <c r="J86" s="11">
        <v>654.93600516419212</v>
      </c>
    </row>
    <row r="87" spans="1:10" x14ac:dyDescent="0.25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173.14765533047748</v>
      </c>
      <c r="G87" s="11">
        <v>190.46242086352524</v>
      </c>
      <c r="H87" s="11">
        <v>209.50866294987779</v>
      </c>
      <c r="I87" s="11">
        <v>230.45952924486556</v>
      </c>
      <c r="J87" s="11">
        <v>253.50548216935212</v>
      </c>
    </row>
    <row r="88" spans="1:10" x14ac:dyDescent="0.25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 x14ac:dyDescent="0.25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 x14ac:dyDescent="0.25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-223.04533923504522</v>
      </c>
      <c r="G90" s="12">
        <v>-148.72429284684222</v>
      </c>
      <c r="H90" s="12">
        <v>-132.94664900848244</v>
      </c>
      <c r="I90" s="12">
        <v>-157.61925674561769</v>
      </c>
      <c r="J90" s="12">
        <v>-170.25632903104616</v>
      </c>
    </row>
    <row r="91" spans="1:10" x14ac:dyDescent="0.25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1000.1912187864043</v>
      </c>
      <c r="G91" s="28">
        <v>1219.9430302298722</v>
      </c>
      <c r="H91" s="28">
        <v>1427.9259711887207</v>
      </c>
      <c r="I91" s="28">
        <v>1647.2445177157983</v>
      </c>
      <c r="J91" s="28">
        <v>1919.6444354994981</v>
      </c>
    </row>
    <row r="92" spans="1:10" x14ac:dyDescent="0.25">
      <c r="B92" s="11"/>
      <c r="C92" s="11"/>
      <c r="D92" s="11"/>
      <c r="E92" s="11"/>
      <c r="F92" s="11"/>
      <c r="G92" s="11"/>
      <c r="H92" s="11"/>
      <c r="I92" s="11"/>
      <c r="J92" s="11"/>
    </row>
    <row r="93" spans="1:10" x14ac:dyDescent="0.25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 x14ac:dyDescent="0.25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 x14ac:dyDescent="0.25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-12.175065495324565</v>
      </c>
      <c r="G95" s="11">
        <v>-12.410581523091603</v>
      </c>
      <c r="H95" s="11">
        <v>-12.659572623432792</v>
      </c>
      <c r="I95" s="11">
        <v>-13.118710976967902</v>
      </c>
      <c r="J95" s="11">
        <v>-13.598513015362171</v>
      </c>
    </row>
    <row r="96" spans="1:10" x14ac:dyDescent="0.25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-9.4486029519700292</v>
      </c>
      <c r="G96" s="11">
        <v>-9.6313779387699299</v>
      </c>
      <c r="H96" s="11">
        <v>-9.8246104143242903</v>
      </c>
      <c r="I96" s="11">
        <v>-10.180930140426828</v>
      </c>
      <c r="J96" s="11">
        <v>-10.553286162501145</v>
      </c>
    </row>
    <row r="97" spans="1:10" x14ac:dyDescent="0.25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 x14ac:dyDescent="0.25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 x14ac:dyDescent="0.25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-77.623668447294591</v>
      </c>
      <c r="G99" s="11">
        <v>-78.041959461861524</v>
      </c>
      <c r="H99" s="11">
        <v>-78.484183037757077</v>
      </c>
      <c r="I99" s="11">
        <v>-79.299641117394728</v>
      </c>
      <c r="J99" s="11">
        <v>-80.151799177863325</v>
      </c>
    </row>
    <row r="100" spans="1:10" x14ac:dyDescent="0.25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 x14ac:dyDescent="0.25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 x14ac:dyDescent="0.25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 x14ac:dyDescent="0.25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-173.24445135387862</v>
      </c>
      <c r="G103" s="11">
        <v>-178.36167137285727</v>
      </c>
      <c r="H103" s="11">
        <v>-183.75950821144471</v>
      </c>
      <c r="I103" s="11">
        <v>-192.32835330980052</v>
      </c>
      <c r="J103" s="11">
        <v>-201.35617108275474</v>
      </c>
    </row>
    <row r="104" spans="1:10" x14ac:dyDescent="0.25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 x14ac:dyDescent="0.25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-1104.1724983803847</v>
      </c>
      <c r="H105" s="28">
        <v>-1234.682279939519</v>
      </c>
      <c r="I105" s="28">
        <v>-1428.616523288603</v>
      </c>
      <c r="J105" s="28">
        <v>-1683.5364652388801</v>
      </c>
    </row>
    <row r="106" spans="1:10" x14ac:dyDescent="0.25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-1395.9344513538786</v>
      </c>
      <c r="G106" s="127">
        <v>-1221.5341697532419</v>
      </c>
      <c r="H106" s="127">
        <v>-1349.4417881509637</v>
      </c>
      <c r="I106" s="127">
        <v>-1567.9448765984037</v>
      </c>
      <c r="J106" s="127">
        <v>-1839.4926363216348</v>
      </c>
    </row>
    <row r="107" spans="1:10" x14ac:dyDescent="0.25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 x14ac:dyDescent="0.25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 x14ac:dyDescent="0.25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 x14ac:dyDescent="0.25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-473.36690101476881</v>
      </c>
      <c r="G110" s="47">
        <v>-79.6330989852313</v>
      </c>
      <c r="H110" s="47">
        <v>0</v>
      </c>
      <c r="I110" s="47">
        <v>0</v>
      </c>
      <c r="J110" s="47">
        <v>0</v>
      </c>
    </row>
    <row r="111" spans="1:10" x14ac:dyDescent="0.25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 x14ac:dyDescent="0.25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390.63309898523119</v>
      </c>
      <c r="H112" s="11">
        <v>310.99999999999989</v>
      </c>
      <c r="I112" s="11">
        <v>310.99999999999989</v>
      </c>
      <c r="J112" s="11">
        <v>310.99999999999989</v>
      </c>
    </row>
    <row r="113" spans="1:10" x14ac:dyDescent="0.25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390.63309898523119</v>
      </c>
      <c r="G113" s="11">
        <v>310.99999999999989</v>
      </c>
      <c r="H113" s="11">
        <v>310.99999999999989</v>
      </c>
      <c r="I113" s="11">
        <v>310.99999999999989</v>
      </c>
      <c r="J113" s="11">
        <v>310.99999999999989</v>
      </c>
    </row>
    <row r="114" spans="1:10" x14ac:dyDescent="0.25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 x14ac:dyDescent="0.25">
      <c r="A115" t="s">
        <v>334</v>
      </c>
      <c r="F115" s="4">
        <v>2553</v>
      </c>
      <c r="G115" s="4">
        <v>2079.6330989852313</v>
      </c>
      <c r="H115" s="4">
        <v>2000</v>
      </c>
      <c r="I115" s="4">
        <v>2000</v>
      </c>
      <c r="J115" s="4">
        <v>2000</v>
      </c>
    </row>
    <row r="116" spans="1:10" x14ac:dyDescent="0.25">
      <c r="A116" t="s">
        <v>335</v>
      </c>
      <c r="C116" s="48">
        <v>2202</v>
      </c>
      <c r="D116" s="48">
        <v>2523</v>
      </c>
      <c r="E116" s="48">
        <v>2553</v>
      </c>
      <c r="F116" s="4">
        <v>2079.6330989852313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F4F2D-6AE0-48E4-B4E4-21BC958D3C02}">
  <sheetPr>
    <tabColor theme="5" tint="0.39997558519241921"/>
  </sheetPr>
  <dimension ref="A1:J116"/>
  <sheetViews>
    <sheetView workbookViewId="0">
      <selection activeCell="H7" sqref="H7"/>
    </sheetView>
  </sheetViews>
  <sheetFormatPr defaultRowHeight="15" x14ac:dyDescent="0.25"/>
  <sheetData>
    <row r="1" spans="1:10" x14ac:dyDescent="0.25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 x14ac:dyDescent="0.25">
      <c r="B2" s="21"/>
      <c r="C2" s="21"/>
      <c r="D2" s="21"/>
      <c r="E2" s="21"/>
      <c r="F2" s="21"/>
      <c r="G2" s="21"/>
      <c r="H2" s="21"/>
      <c r="I2" s="21"/>
      <c r="J2" s="21"/>
    </row>
    <row r="3" spans="1:10" x14ac:dyDescent="0.25">
      <c r="A3" s="2" t="s">
        <v>0</v>
      </c>
    </row>
    <row r="4" spans="1:10" x14ac:dyDescent="0.25">
      <c r="A4" s="2" t="s">
        <v>19</v>
      </c>
    </row>
    <row r="5" spans="1:10" x14ac:dyDescent="0.25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3141.25</v>
      </c>
      <c r="G5" s="11">
        <v>3308.0034374999996</v>
      </c>
      <c r="H5" s="11">
        <v>3486.3761718749997</v>
      </c>
      <c r="I5" s="11">
        <v>3747.8543847656247</v>
      </c>
      <c r="J5" s="11">
        <v>4028.9434636230462</v>
      </c>
    </row>
    <row r="6" spans="1:10" x14ac:dyDescent="0.25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62.825000000000003</v>
      </c>
      <c r="G6" s="11">
        <v>66.160068749999994</v>
      </c>
      <c r="H6" s="11">
        <v>69.727523437499997</v>
      </c>
      <c r="I6" s="11">
        <v>74.957087695312495</v>
      </c>
      <c r="J6" s="11">
        <v>80.578869272460921</v>
      </c>
    </row>
    <row r="7" spans="1:10" x14ac:dyDescent="0.25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3204.0749999999998</v>
      </c>
      <c r="G7" s="14">
        <v>3374.1635062499995</v>
      </c>
      <c r="H7" s="14">
        <v>3556.1036953124999</v>
      </c>
      <c r="I7" s="14">
        <v>3822.8114724609372</v>
      </c>
      <c r="J7" s="14">
        <v>4109.5223328955071</v>
      </c>
    </row>
    <row r="9" spans="1:10" x14ac:dyDescent="0.25">
      <c r="A9" s="8" t="s">
        <v>43</v>
      </c>
    </row>
    <row r="10" spans="1:10" x14ac:dyDescent="0.25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-628.25</v>
      </c>
      <c r="G10" s="11">
        <v>-661.60068749999994</v>
      </c>
      <c r="H10" s="11">
        <v>-697.27523437499997</v>
      </c>
      <c r="I10" s="11">
        <v>-749.57087695312498</v>
      </c>
      <c r="J10" s="11">
        <v>-805.78869272460929</v>
      </c>
    </row>
    <row r="11" spans="1:10" x14ac:dyDescent="0.25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-81.954768693127392</v>
      </c>
      <c r="G11" s="12">
        <v>-86.305342317988945</v>
      </c>
      <c r="H11" s="12">
        <v>-90.959061756704031</v>
      </c>
      <c r="I11" s="12">
        <v>-97.78099138845684</v>
      </c>
      <c r="J11" s="12">
        <v>-105.11456574259108</v>
      </c>
    </row>
    <row r="12" spans="1:10" x14ac:dyDescent="0.25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-710.20476869312733</v>
      </c>
      <c r="G12" s="13">
        <v>-747.90602981798884</v>
      </c>
      <c r="H12" s="13">
        <v>-788.23429613170401</v>
      </c>
      <c r="I12" s="13">
        <v>-847.35186834158185</v>
      </c>
      <c r="J12" s="13">
        <v>-910.90325846720043</v>
      </c>
    </row>
    <row r="14" spans="1:10" x14ac:dyDescent="0.25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2493.8702313068725</v>
      </c>
      <c r="G14" s="14">
        <v>2626.2574764320107</v>
      </c>
      <c r="H14" s="14">
        <v>2767.8693991807959</v>
      </c>
      <c r="I14" s="14">
        <v>2975.4596041193554</v>
      </c>
      <c r="J14" s="14">
        <v>3198.6190744283067</v>
      </c>
    </row>
    <row r="16" spans="1:10" x14ac:dyDescent="0.25">
      <c r="A16" s="2" t="s">
        <v>45</v>
      </c>
    </row>
    <row r="17" spans="1:10" x14ac:dyDescent="0.25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-683.87078687050359</v>
      </c>
      <c r="G17" s="11">
        <v>-702.16975437457029</v>
      </c>
      <c r="H17" s="11">
        <v>-721.53105274886912</v>
      </c>
      <c r="I17" s="11">
        <v>-756.2547346624084</v>
      </c>
      <c r="J17" s="11">
        <v>-792.64949376803679</v>
      </c>
    </row>
    <row r="18" spans="1:10" x14ac:dyDescent="0.25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-1089.4842895683453</v>
      </c>
      <c r="G18" s="11">
        <v>-1118.6366352946989</v>
      </c>
      <c r="H18" s="11">
        <v>-1149.481395459075</v>
      </c>
      <c r="I18" s="11">
        <v>-1204.8001876155429</v>
      </c>
      <c r="J18" s="11">
        <v>-1262.7811966445408</v>
      </c>
    </row>
    <row r="19" spans="1:10" x14ac:dyDescent="0.25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-470.14105615651368</v>
      </c>
      <c r="G19" s="11">
        <v>-483.27147114423491</v>
      </c>
      <c r="H19" s="11">
        <v>-496.97147878750701</v>
      </c>
      <c r="I19" s="11">
        <v>-516.21359323181082</v>
      </c>
      <c r="J19" s="11">
        <v>-536.20073829475496</v>
      </c>
    </row>
    <row r="20" spans="1:10" x14ac:dyDescent="0.25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-3.204075</v>
      </c>
      <c r="G20" s="12">
        <v>-3.3741635062499995</v>
      </c>
      <c r="H20" s="12">
        <v>-3.5561036953124998</v>
      </c>
      <c r="I20" s="12">
        <v>-3.8228114724609372</v>
      </c>
      <c r="J20" s="12">
        <v>-4.1095223328955068</v>
      </c>
    </row>
    <row r="21" spans="1:10" x14ac:dyDescent="0.25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-2246.7002075953624</v>
      </c>
      <c r="G21" s="11">
        <v>-2307.4520243197544</v>
      </c>
      <c r="H21" s="11">
        <v>-2371.5400306907636</v>
      </c>
      <c r="I21" s="11">
        <v>-2481.0913269822236</v>
      </c>
      <c r="J21" s="11">
        <v>-2595.7409510402285</v>
      </c>
    </row>
    <row r="22" spans="1:10" x14ac:dyDescent="0.25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 x14ac:dyDescent="0.25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247.17002371151011</v>
      </c>
      <c r="G23" s="14">
        <v>318.80545211225626</v>
      </c>
      <c r="H23" s="14">
        <v>396.32936849003227</v>
      </c>
      <c r="I23" s="14">
        <v>494.36827713713183</v>
      </c>
      <c r="J23" s="14">
        <v>602.87812338807817</v>
      </c>
    </row>
    <row r="24" spans="1:10" x14ac:dyDescent="0.25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7.7142396389444728E-2</v>
      </c>
      <c r="G24" s="22">
        <v>9.4484292631856606E-2</v>
      </c>
      <c r="H24" s="22">
        <v>0.11145045320597829</v>
      </c>
      <c r="I24" s="22">
        <v>0.12932060100229895</v>
      </c>
      <c r="J24" s="22">
        <v>0.14670272468462275</v>
      </c>
    </row>
    <row r="26" spans="1:10" x14ac:dyDescent="0.25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313.17002371151011</v>
      </c>
      <c r="G26" s="25">
        <v>365.87358748666071</v>
      </c>
      <c r="H26" s="25">
        <v>437.03820659249368</v>
      </c>
      <c r="I26" s="25">
        <v>523.17232506699486</v>
      </c>
      <c r="J26" s="25">
        <v>629.82835031560614</v>
      </c>
    </row>
    <row r="27" spans="1:10" x14ac:dyDescent="0.25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9.7741165144857756E-2</v>
      </c>
      <c r="G27" s="22">
        <v>0.108433864218183</v>
      </c>
      <c r="H27" s="22">
        <v>0.12289804911161008</v>
      </c>
      <c r="I27" s="22">
        <v>0.13685538218033083</v>
      </c>
      <c r="J27" s="22">
        <v>0.15326071968851879</v>
      </c>
    </row>
    <row r="29" spans="1:10" x14ac:dyDescent="0.25">
      <c r="B29" s="37"/>
      <c r="C29" s="37"/>
      <c r="D29" s="37"/>
      <c r="E29" s="37"/>
      <c r="F29" s="37"/>
      <c r="G29" s="37"/>
      <c r="H29" s="37"/>
      <c r="I29" s="37"/>
      <c r="J29" s="37"/>
    </row>
    <row r="30" spans="1:10" x14ac:dyDescent="0.25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102.12</v>
      </c>
      <c r="G30" s="12">
        <v>78.865432866416711</v>
      </c>
      <c r="H30" s="12">
        <v>74.019731934788524</v>
      </c>
      <c r="I30" s="12">
        <v>71.912097562884398</v>
      </c>
      <c r="J30" s="12">
        <v>71.021093019677053</v>
      </c>
    </row>
    <row r="31" spans="1:10" x14ac:dyDescent="0.25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349.29002371151012</v>
      </c>
      <c r="G31" s="11">
        <v>397.67088497867297</v>
      </c>
      <c r="H31" s="11">
        <v>470.34910042482079</v>
      </c>
      <c r="I31" s="11">
        <v>566.28037470001618</v>
      </c>
      <c r="J31" s="11">
        <v>673.89921640775526</v>
      </c>
    </row>
    <row r="32" spans="1:10" x14ac:dyDescent="0.25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 x14ac:dyDescent="0.25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327.29002371151012</v>
      </c>
      <c r="G33" s="14">
        <v>373.67088497867297</v>
      </c>
      <c r="H33" s="14">
        <v>444.34910042482079</v>
      </c>
      <c r="I33" s="14">
        <v>538.28037470001618</v>
      </c>
      <c r="J33" s="14">
        <v>645.89921640775526</v>
      </c>
    </row>
    <row r="34" spans="1:10" x14ac:dyDescent="0.25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0.10214805324828855</v>
      </c>
      <c r="G34" s="22">
        <v>0.11074474733856803</v>
      </c>
      <c r="H34" s="22">
        <v>0.12495392105987863</v>
      </c>
      <c r="I34" s="22">
        <v>0.14080746031493357</v>
      </c>
      <c r="J34" s="22">
        <v>0.15717136058308373</v>
      </c>
    </row>
    <row r="35" spans="1:10" x14ac:dyDescent="0.25">
      <c r="F35" s="25"/>
      <c r="G35" s="25"/>
      <c r="H35" s="25"/>
      <c r="I35" s="25"/>
      <c r="J35" s="25"/>
    </row>
    <row r="36" spans="1:10" x14ac:dyDescent="0.25">
      <c r="A36" s="2" t="s">
        <v>396</v>
      </c>
      <c r="C36" s="37"/>
      <c r="D36" s="37"/>
      <c r="E36" s="37"/>
    </row>
    <row r="37" spans="1:10" x14ac:dyDescent="0.25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 x14ac:dyDescent="0.25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 x14ac:dyDescent="0.25">
      <c r="B39" s="36"/>
      <c r="C39" s="22"/>
      <c r="D39" s="22"/>
      <c r="E39" s="22"/>
    </row>
    <row r="40" spans="1:10" x14ac:dyDescent="0.25">
      <c r="A40" s="2" t="s">
        <v>399</v>
      </c>
      <c r="B40" s="36"/>
      <c r="C40" s="36"/>
      <c r="D40" s="36"/>
      <c r="E40" s="36"/>
    </row>
    <row r="41" spans="1:10" x14ac:dyDescent="0.25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1.917730057442778</v>
      </c>
      <c r="G41" s="18">
        <v>2.1109066680587416</v>
      </c>
      <c r="H41" s="18">
        <v>2.4200767537388232</v>
      </c>
      <c r="I41" s="18">
        <v>2.8264313683796507</v>
      </c>
      <c r="J41" s="18">
        <v>3.2697889326196621</v>
      </c>
    </row>
    <row r="42" spans="1:10" x14ac:dyDescent="0.25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1.8893892191554464</v>
      </c>
      <c r="G42" s="18">
        <v>2.0900066020383576</v>
      </c>
      <c r="H42" s="18">
        <v>2.3961155977612112</v>
      </c>
      <c r="I42" s="18">
        <v>2.7984468993857927</v>
      </c>
      <c r="J42" s="18">
        <v>3.2374147847719428</v>
      </c>
    </row>
    <row r="43" spans="1:10" x14ac:dyDescent="0.25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0.44190229882915633</v>
      </c>
      <c r="G43" s="20">
        <v>0.10073190951262312</v>
      </c>
      <c r="H43" s="20">
        <v>0.14646317165903144</v>
      </c>
      <c r="I43" s="20">
        <v>0.16790980451882054</v>
      </c>
      <c r="J43" s="20">
        <v>0.15686125239056525</v>
      </c>
    </row>
    <row r="46" spans="1:10" x14ac:dyDescent="0.25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 x14ac:dyDescent="0.25">
      <c r="A47" s="1"/>
      <c r="D47" s="20"/>
      <c r="E47" s="20"/>
    </row>
    <row r="48" spans="1:10" x14ac:dyDescent="0.25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 x14ac:dyDescent="0.25">
      <c r="A49" s="3" t="s">
        <v>302</v>
      </c>
      <c r="C49" s="48">
        <v>2202</v>
      </c>
      <c r="D49" s="48">
        <v>2523</v>
      </c>
      <c r="E49" s="48">
        <v>2553</v>
      </c>
      <c r="F49" s="135">
        <v>1971.6358216604176</v>
      </c>
      <c r="G49" s="135">
        <v>1850.4932983697131</v>
      </c>
      <c r="H49" s="135">
        <v>1797.80243907211</v>
      </c>
      <c r="I49" s="135">
        <v>1775.5273254919261</v>
      </c>
      <c r="J49" s="135">
        <v>1827.8646956692498</v>
      </c>
    </row>
    <row r="50" spans="1:10" x14ac:dyDescent="0.25">
      <c r="A50" s="3" t="s">
        <v>2</v>
      </c>
      <c r="C50" s="49">
        <v>559</v>
      </c>
      <c r="D50" s="49">
        <v>621</v>
      </c>
      <c r="E50" s="49">
        <v>687</v>
      </c>
      <c r="F50" s="5">
        <v>746.55276798561147</v>
      </c>
      <c r="G50" s="5">
        <v>778.3217291026906</v>
      </c>
      <c r="H50" s="5">
        <v>812.08715705641032</v>
      </c>
      <c r="I50" s="5">
        <v>864.26375689728468</v>
      </c>
      <c r="J50" s="5">
        <v>919.79270327793517</v>
      </c>
    </row>
    <row r="51" spans="1:10" x14ac:dyDescent="0.25">
      <c r="A51" s="3" t="s">
        <v>49</v>
      </c>
      <c r="C51" s="49">
        <v>355</v>
      </c>
      <c r="D51" s="49">
        <v>407</v>
      </c>
      <c r="E51" s="49">
        <v>503</v>
      </c>
      <c r="F51" s="5">
        <v>528.65762805518023</v>
      </c>
      <c r="G51" s="5">
        <v>568.30695015931872</v>
      </c>
      <c r="H51" s="5">
        <v>610.92997142126762</v>
      </c>
      <c r="I51" s="5">
        <v>656.74971927786271</v>
      </c>
      <c r="J51" s="5">
        <v>706.00594822370238</v>
      </c>
    </row>
    <row r="52" spans="1:10" x14ac:dyDescent="0.25">
      <c r="A52" s="3" t="s">
        <v>272</v>
      </c>
      <c r="C52" s="49">
        <v>106</v>
      </c>
      <c r="D52" s="49">
        <v>132</v>
      </c>
      <c r="E52" s="49">
        <v>233</v>
      </c>
      <c r="F52" s="5">
        <v>276.46078531136146</v>
      </c>
      <c r="G52" s="5">
        <v>322.59705606017036</v>
      </c>
      <c r="H52" s="5">
        <v>370.01473226509313</v>
      </c>
      <c r="I52" s="5">
        <v>419.62282812481931</v>
      </c>
      <c r="J52" s="5">
        <v>471.52328197987526</v>
      </c>
    </row>
    <row r="53" spans="1:10" x14ac:dyDescent="0.25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 x14ac:dyDescent="0.25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 x14ac:dyDescent="0.25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 x14ac:dyDescent="0.25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92.460785311361462</v>
      </c>
      <c r="G56" s="147">
        <v>92.460785311361462</v>
      </c>
      <c r="H56" s="147">
        <v>92.460785311361462</v>
      </c>
      <c r="I56" s="147">
        <v>92.460785311361462</v>
      </c>
      <c r="J56" s="147">
        <v>92.460785311361462</v>
      </c>
    </row>
    <row r="57" spans="1:10" x14ac:dyDescent="0.25">
      <c r="A57" s="2" t="s">
        <v>3</v>
      </c>
      <c r="C57" s="51">
        <v>8989</v>
      </c>
      <c r="D57" s="51">
        <v>9437</v>
      </c>
      <c r="E57" s="51">
        <v>9710</v>
      </c>
      <c r="F57" s="131">
        <v>9260.7677883239321</v>
      </c>
      <c r="G57" s="131">
        <v>9280.179819003255</v>
      </c>
      <c r="H57" s="131">
        <v>9381.2950851262412</v>
      </c>
      <c r="I57" s="131">
        <v>9558.6244151032533</v>
      </c>
      <c r="J57" s="131">
        <v>9822.6474144621243</v>
      </c>
    </row>
    <row r="58" spans="1:10" x14ac:dyDescent="0.25">
      <c r="D58" s="5"/>
      <c r="E58" s="5"/>
      <c r="F58" s="5"/>
    </row>
    <row r="59" spans="1:10" x14ac:dyDescent="0.25">
      <c r="A59" s="8" t="s">
        <v>4</v>
      </c>
    </row>
    <row r="60" spans="1:10" x14ac:dyDescent="0.25">
      <c r="A60" s="3" t="s">
        <v>6</v>
      </c>
      <c r="C60" s="43">
        <v>-12</v>
      </c>
      <c r="D60" s="43">
        <v>-13</v>
      </c>
      <c r="E60" s="43">
        <v>-12</v>
      </c>
      <c r="F60" s="11">
        <v>-13.183521795687819</v>
      </c>
      <c r="G60" s="11">
        <v>-13.539519973166453</v>
      </c>
      <c r="H60" s="11">
        <v>-13.915053054835605</v>
      </c>
      <c r="I60" s="11">
        <v>-14.557245271563199</v>
      </c>
      <c r="J60" s="11">
        <v>-15.229279395827257</v>
      </c>
    </row>
    <row r="61" spans="1:10" x14ac:dyDescent="0.25">
      <c r="A61" s="3" t="s">
        <v>5</v>
      </c>
      <c r="C61" s="43">
        <v>-115</v>
      </c>
      <c r="D61" s="43">
        <v>-103</v>
      </c>
      <c r="E61" s="43">
        <v>-104</v>
      </c>
      <c r="F61" s="11">
        <v>-110.08831017217275</v>
      </c>
      <c r="G61" s="11">
        <v>-113.06514919166797</v>
      </c>
      <c r="H61" s="11">
        <v>-116.20546150384742</v>
      </c>
      <c r="I61" s="11">
        <v>-121.57347502212896</v>
      </c>
      <c r="J61" s="11">
        <v>-127.1913066009712</v>
      </c>
    </row>
    <row r="62" spans="1:10" x14ac:dyDescent="0.25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 x14ac:dyDescent="0.25">
      <c r="A63" s="3"/>
      <c r="C63" s="45"/>
      <c r="D63" s="45"/>
      <c r="E63" s="45"/>
      <c r="F63" s="11"/>
      <c r="G63" s="11"/>
      <c r="H63" s="11"/>
      <c r="I63" s="11"/>
    </row>
    <row r="64" spans="1:10" x14ac:dyDescent="0.25">
      <c r="A64" s="3" t="s">
        <v>110</v>
      </c>
      <c r="C64" s="43">
        <v>-167</v>
      </c>
      <c r="D64" s="43">
        <v>-207</v>
      </c>
      <c r="E64" s="43">
        <v>-213</v>
      </c>
      <c r="F64" s="11">
        <v>-226.90713334177914</v>
      </c>
      <c r="G64" s="11">
        <v>-233.0428075771018</v>
      </c>
      <c r="H64" s="11">
        <v>-239.51542272979265</v>
      </c>
      <c r="I64" s="11">
        <v>-250.57963615325446</v>
      </c>
      <c r="J64" s="11">
        <v>-262.15875892440431</v>
      </c>
    </row>
    <row r="65" spans="1:10" x14ac:dyDescent="0.25">
      <c r="A65" s="3" t="s">
        <v>50</v>
      </c>
      <c r="C65" s="43">
        <v>-1511</v>
      </c>
      <c r="D65" s="43">
        <v>-1718</v>
      </c>
      <c r="E65" s="43">
        <v>-1905</v>
      </c>
      <c r="F65" s="11">
        <v>-1984.8020624999999</v>
      </c>
      <c r="G65" s="11">
        <v>-2091.825703125</v>
      </c>
      <c r="H65" s="11">
        <v>-2248.7126308593752</v>
      </c>
      <c r="I65" s="11">
        <v>-2417.3660781738281</v>
      </c>
      <c r="J65" s="11">
        <v>-2598.6685340368649</v>
      </c>
    </row>
    <row r="66" spans="1:10" x14ac:dyDescent="0.25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 x14ac:dyDescent="0.25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-54.692326337097789</v>
      </c>
      <c r="J67" s="12">
        <v>-59.994133482020537</v>
      </c>
    </row>
    <row r="68" spans="1:10" x14ac:dyDescent="0.25">
      <c r="A68" s="9" t="s">
        <v>10</v>
      </c>
      <c r="C68" s="52">
        <v>-3101</v>
      </c>
      <c r="D68" s="52">
        <v>-3032</v>
      </c>
      <c r="E68" s="52">
        <v>-2711</v>
      </c>
      <c r="F68" s="132">
        <v>-2401.805151857583</v>
      </c>
      <c r="G68" s="132">
        <v>-2532.7837534903174</v>
      </c>
      <c r="H68" s="132">
        <v>-2699.1231829747467</v>
      </c>
      <c r="I68" s="132">
        <v>-2889.7687609578725</v>
      </c>
      <c r="J68" s="132">
        <v>-3094.2420124400883</v>
      </c>
    </row>
    <row r="69" spans="1:10" x14ac:dyDescent="0.25">
      <c r="A69" s="3"/>
      <c r="C69" s="85"/>
      <c r="D69" s="46"/>
      <c r="E69" s="46"/>
    </row>
    <row r="70" spans="1:10" x14ac:dyDescent="0.25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-6858.9626364663491</v>
      </c>
      <c r="G70" s="136">
        <v>-6747.3960655129367</v>
      </c>
      <c r="H70" s="136">
        <v>-6682.1719021514955</v>
      </c>
      <c r="I70" s="136">
        <v>-6668.8556541453809</v>
      </c>
      <c r="J70" s="136">
        <v>-6728.4054020220347</v>
      </c>
    </row>
    <row r="71" spans="1:10" x14ac:dyDescent="0.25">
      <c r="A71" s="8" t="s">
        <v>12</v>
      </c>
      <c r="C71" s="54">
        <v>-5888</v>
      </c>
      <c r="D71" s="54">
        <v>-6405</v>
      </c>
      <c r="E71" s="54">
        <v>-6999</v>
      </c>
      <c r="F71" s="137">
        <v>-6858.9626364663491</v>
      </c>
      <c r="G71" s="137">
        <v>-6747.3960655129367</v>
      </c>
      <c r="H71" s="137">
        <v>-6682.1719021514955</v>
      </c>
      <c r="I71" s="137">
        <v>-6668.8556541453809</v>
      </c>
      <c r="J71" s="137">
        <v>-6728.4054020220347</v>
      </c>
    </row>
    <row r="72" spans="1:10" x14ac:dyDescent="0.25">
      <c r="C72" s="53"/>
      <c r="D72" s="53"/>
      <c r="E72" s="53"/>
      <c r="F72" s="138"/>
      <c r="G72" s="138"/>
      <c r="H72" s="138"/>
      <c r="I72" s="138"/>
      <c r="J72" s="138"/>
    </row>
    <row r="73" spans="1:10" x14ac:dyDescent="0.25">
      <c r="A73" s="2" t="s">
        <v>13</v>
      </c>
      <c r="C73" s="51">
        <v>-8989</v>
      </c>
      <c r="D73" s="51">
        <v>-9437</v>
      </c>
      <c r="E73" s="51">
        <v>-9710</v>
      </c>
      <c r="F73" s="131">
        <v>-9260.7677883239321</v>
      </c>
      <c r="G73" s="131">
        <v>-9280.1798190032532</v>
      </c>
      <c r="H73" s="131">
        <v>-9381.2950851262431</v>
      </c>
      <c r="I73" s="131">
        <v>-9558.6244151032533</v>
      </c>
      <c r="J73" s="131">
        <v>-9822.6474144621225</v>
      </c>
    </row>
    <row r="74" spans="1:10" x14ac:dyDescent="0.25">
      <c r="C74" s="53"/>
      <c r="D74" s="53"/>
      <c r="E74" s="53"/>
      <c r="F74" s="138"/>
      <c r="G74" s="138"/>
      <c r="H74" s="138"/>
      <c r="I74" s="138"/>
      <c r="J74" s="138"/>
    </row>
    <row r="75" spans="1:10" x14ac:dyDescent="0.25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 x14ac:dyDescent="0.25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 x14ac:dyDescent="0.25">
      <c r="B77" s="4"/>
      <c r="C77" s="48"/>
      <c r="D77" s="48"/>
      <c r="E77" s="48"/>
    </row>
    <row r="78" spans="1:10" x14ac:dyDescent="0.25">
      <c r="F78" s="4"/>
      <c r="G78" s="4"/>
      <c r="H78" s="4"/>
      <c r="I78" s="4"/>
      <c r="J78" s="4"/>
    </row>
    <row r="79" spans="1:10" x14ac:dyDescent="0.25">
      <c r="F79" s="135"/>
      <c r="G79" s="135"/>
      <c r="H79" s="135"/>
      <c r="I79" s="135"/>
      <c r="J79" s="135"/>
    </row>
    <row r="81" spans="1:10" x14ac:dyDescent="0.25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 x14ac:dyDescent="0.25">
      <c r="A83" s="2" t="s">
        <v>27</v>
      </c>
    </row>
    <row r="84" spans="1:10" x14ac:dyDescent="0.25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327.29002371151012</v>
      </c>
      <c r="G84" s="11">
        <v>373.67088497867297</v>
      </c>
      <c r="H84" s="11">
        <v>444.34910042482079</v>
      </c>
      <c r="I84" s="11">
        <v>538.28037470001618</v>
      </c>
      <c r="J84" s="11">
        <v>645.89921640775526</v>
      </c>
    </row>
    <row r="85" spans="1:10" x14ac:dyDescent="0.25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47.068135374404463</v>
      </c>
      <c r="H85" s="148">
        <v>40.708838102461385</v>
      </c>
      <c r="I85" s="148">
        <v>28.80404792986306</v>
      </c>
      <c r="J85" s="148">
        <v>26.95022692752795</v>
      </c>
    </row>
    <row r="86" spans="1:10" x14ac:dyDescent="0.25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585.31387485120717</v>
      </c>
      <c r="G86" s="11">
        <v>607.1524441179082</v>
      </c>
      <c r="H86" s="11">
        <v>630.25587266355342</v>
      </c>
      <c r="I86" s="11">
        <v>665.96371252463462</v>
      </c>
      <c r="J86" s="11">
        <v>703.70483920705567</v>
      </c>
    </row>
    <row r="87" spans="1:10" x14ac:dyDescent="0.25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169.21248134569385</v>
      </c>
      <c r="G87" s="11">
        <v>181.90341744662089</v>
      </c>
      <c r="H87" s="11">
        <v>195.54617375511745</v>
      </c>
      <c r="I87" s="11">
        <v>210.21213678675127</v>
      </c>
      <c r="J87" s="11">
        <v>225.97804704575759</v>
      </c>
    </row>
    <row r="88" spans="1:10" x14ac:dyDescent="0.25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 x14ac:dyDescent="0.25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 x14ac:dyDescent="0.25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-248.0785108402639</v>
      </c>
      <c r="G90" s="12">
        <v>-159.4793697839134</v>
      </c>
      <c r="H90" s="12">
        <v>-144.01286969127966</v>
      </c>
      <c r="I90" s="12">
        <v>-167.17100236082069</v>
      </c>
      <c r="J90" s="12">
        <v>-178.19042474508802</v>
      </c>
    </row>
    <row r="91" spans="1:10" x14ac:dyDescent="0.25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899.73786906814723</v>
      </c>
      <c r="G91" s="28">
        <v>1050.3155121336933</v>
      </c>
      <c r="H91" s="28">
        <v>1166.8471152546736</v>
      </c>
      <c r="I91" s="28">
        <v>1276.0892695804444</v>
      </c>
      <c r="J91" s="28">
        <v>1424.3419048430087</v>
      </c>
    </row>
    <row r="92" spans="1:10" x14ac:dyDescent="0.25">
      <c r="B92" s="11"/>
      <c r="C92" s="11"/>
      <c r="D92" s="11"/>
      <c r="E92" s="11"/>
      <c r="F92" s="11"/>
      <c r="G92" s="11"/>
      <c r="H92" s="11"/>
      <c r="I92" s="11"/>
      <c r="J92" s="11"/>
    </row>
    <row r="93" spans="1:10" x14ac:dyDescent="0.25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 x14ac:dyDescent="0.25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 x14ac:dyDescent="0.25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-12.646398686179609</v>
      </c>
      <c r="G95" s="11">
        <v>-12.988363178197295</v>
      </c>
      <c r="H95" s="11">
        <v>-13.349106670733692</v>
      </c>
      <c r="I95" s="11">
        <v>-13.96575742137942</v>
      </c>
      <c r="J95" s="11">
        <v>-14.611106030934216</v>
      </c>
    </row>
    <row r="96" spans="1:10" x14ac:dyDescent="0.25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-9.814386625181859</v>
      </c>
      <c r="G96" s="11">
        <v>-10.079772196207166</v>
      </c>
      <c r="H96" s="11">
        <v>-10.359731431727692</v>
      </c>
      <c r="I96" s="11">
        <v>-10.838290508483642</v>
      </c>
      <c r="J96" s="11">
        <v>-11.339120896593736</v>
      </c>
    </row>
    <row r="97" spans="1:10" x14ac:dyDescent="0.25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 x14ac:dyDescent="0.25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 x14ac:dyDescent="0.25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-78.460785311361462</v>
      </c>
      <c r="G99" s="11">
        <v>-79.068135374404463</v>
      </c>
      <c r="H99" s="11">
        <v>-79.708838102461385</v>
      </c>
      <c r="I99" s="11">
        <v>-80.80404792986306</v>
      </c>
      <c r="J99" s="11">
        <v>-81.95022692752795</v>
      </c>
    </row>
    <row r="100" spans="1:10" x14ac:dyDescent="0.25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 x14ac:dyDescent="0.25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 x14ac:dyDescent="0.25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 x14ac:dyDescent="0.25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-179.95126209636803</v>
      </c>
      <c r="G103" s="11">
        <v>-186.66540004999302</v>
      </c>
      <c r="H103" s="11">
        <v>-193.76841144981503</v>
      </c>
      <c r="I103" s="11">
        <v>-204.74657398076482</v>
      </c>
      <c r="J103" s="11">
        <v>-216.349858425657</v>
      </c>
    </row>
    <row r="104" spans="1:10" x14ac:dyDescent="0.25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 x14ac:dyDescent="0.25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-966.72450000000015</v>
      </c>
      <c r="H105" s="28">
        <v>-1015.0607250000002</v>
      </c>
      <c r="I105" s="28">
        <v>-1065.8137612500002</v>
      </c>
      <c r="J105" s="28">
        <v>-1119.1044493125003</v>
      </c>
    </row>
    <row r="106" spans="1:10" x14ac:dyDescent="0.25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-1402.6412620963681</v>
      </c>
      <c r="G106" s="127">
        <v>-1092.3899000499932</v>
      </c>
      <c r="H106" s="127">
        <v>-1139.8291364498152</v>
      </c>
      <c r="I106" s="127">
        <v>-1217.5603352307651</v>
      </c>
      <c r="J106" s="127">
        <v>-1290.0543077381571</v>
      </c>
    </row>
    <row r="107" spans="1:10" x14ac:dyDescent="0.25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 x14ac:dyDescent="0.25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 x14ac:dyDescent="0.25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 x14ac:dyDescent="0.25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-581.36417833958239</v>
      </c>
      <c r="G110" s="47">
        <v>-121.14252329070439</v>
      </c>
      <c r="H110" s="47">
        <v>-52.690859297603083</v>
      </c>
      <c r="I110" s="47">
        <v>-22.27511358018387</v>
      </c>
      <c r="J110" s="47">
        <v>52.337370177323692</v>
      </c>
    </row>
    <row r="111" spans="1:10" x14ac:dyDescent="0.25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 x14ac:dyDescent="0.25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282.63582166041761</v>
      </c>
      <c r="H112" s="11">
        <v>161.49329836971322</v>
      </c>
      <c r="I112" s="11">
        <v>108.80243907211013</v>
      </c>
      <c r="J112" s="11">
        <v>86.527325491926263</v>
      </c>
    </row>
    <row r="113" spans="1:10" x14ac:dyDescent="0.25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282.63582166041761</v>
      </c>
      <c r="G113" s="11">
        <v>161.49329836971322</v>
      </c>
      <c r="H113" s="11">
        <v>108.80243907211013</v>
      </c>
      <c r="I113" s="11">
        <v>86.527325491926263</v>
      </c>
      <c r="J113" s="11">
        <v>138.86469566924995</v>
      </c>
    </row>
    <row r="114" spans="1:10" x14ac:dyDescent="0.25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 x14ac:dyDescent="0.25">
      <c r="A115" t="s">
        <v>334</v>
      </c>
      <c r="F115" s="4">
        <v>2553</v>
      </c>
      <c r="G115" s="4">
        <v>1971.6358216604176</v>
      </c>
      <c r="H115" s="4">
        <v>1850.4932983697131</v>
      </c>
      <c r="I115" s="4">
        <v>1797.80243907211</v>
      </c>
      <c r="J115" s="4">
        <v>1775.5273254919261</v>
      </c>
    </row>
    <row r="116" spans="1:10" x14ac:dyDescent="0.25">
      <c r="A116" t="s">
        <v>335</v>
      </c>
      <c r="C116" s="48">
        <v>2202</v>
      </c>
      <c r="D116" s="48">
        <v>2523</v>
      </c>
      <c r="E116" s="48">
        <v>2553</v>
      </c>
      <c r="F116" s="4">
        <v>1971.6358216604176</v>
      </c>
      <c r="G116" s="4">
        <v>1850.4932983697131</v>
      </c>
      <c r="H116" s="4">
        <v>1797.80243907211</v>
      </c>
      <c r="I116" s="4">
        <v>1775.5273254919261</v>
      </c>
      <c r="J116" s="4">
        <v>1827.8646956692498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3E811-2627-4D36-80E9-5CC56F2090F2}">
  <sheetPr>
    <tabColor theme="5" tint="0.39997558519241921"/>
  </sheetPr>
  <dimension ref="A1:J116"/>
  <sheetViews>
    <sheetView workbookViewId="0">
      <selection activeCell="H7" sqref="H7"/>
    </sheetView>
  </sheetViews>
  <sheetFormatPr defaultRowHeight="15" x14ac:dyDescent="0.25"/>
  <sheetData>
    <row r="1" spans="1:10" x14ac:dyDescent="0.25">
      <c r="A1" s="17" t="s">
        <v>17</v>
      </c>
      <c r="B1" s="129">
        <v>44957</v>
      </c>
      <c r="C1" s="129">
        <v>45322</v>
      </c>
      <c r="D1" s="129">
        <v>45688</v>
      </c>
      <c r="E1" s="129">
        <v>46053</v>
      </c>
      <c r="F1" s="130">
        <v>46418</v>
      </c>
      <c r="G1" s="130">
        <v>46783</v>
      </c>
      <c r="H1" s="130">
        <v>47149</v>
      </c>
      <c r="I1" s="130">
        <v>47514</v>
      </c>
      <c r="J1" s="130">
        <v>47879</v>
      </c>
    </row>
    <row r="2" spans="1:10" x14ac:dyDescent="0.25">
      <c r="B2" s="21"/>
      <c r="C2" s="21"/>
      <c r="D2" s="21"/>
      <c r="E2" s="21"/>
      <c r="F2" s="21"/>
      <c r="G2" s="21"/>
      <c r="H2" s="21"/>
      <c r="I2" s="21"/>
      <c r="J2" s="21"/>
    </row>
    <row r="3" spans="1:10" x14ac:dyDescent="0.25">
      <c r="A3" s="2" t="s">
        <v>0</v>
      </c>
    </row>
    <row r="4" spans="1:10" x14ac:dyDescent="0.25">
      <c r="A4" s="2" t="s">
        <v>19</v>
      </c>
    </row>
    <row r="5" spans="1:10" x14ac:dyDescent="0.25">
      <c r="A5" s="3" t="s">
        <v>41</v>
      </c>
      <c r="B5" s="43">
        <v>1794</v>
      </c>
      <c r="C5" s="43">
        <v>2205</v>
      </c>
      <c r="D5" s="43">
        <v>2556</v>
      </c>
      <c r="E5" s="43">
        <v>2855</v>
      </c>
      <c r="F5" s="11">
        <v>3204.0749999999998</v>
      </c>
      <c r="G5" s="11">
        <v>3532.6399500000007</v>
      </c>
      <c r="H5" s="11">
        <v>3897.8990399999998</v>
      </c>
      <c r="I5" s="11">
        <v>4386.8393856000002</v>
      </c>
      <c r="J5" s="11">
        <v>4936.9956679679999</v>
      </c>
    </row>
    <row r="6" spans="1:10" x14ac:dyDescent="0.25">
      <c r="A6" s="3" t="s">
        <v>42</v>
      </c>
      <c r="B6" s="43">
        <v>64</v>
      </c>
      <c r="C6" s="43">
        <v>58</v>
      </c>
      <c r="D6" s="43">
        <v>54</v>
      </c>
      <c r="E6" s="43">
        <v>64</v>
      </c>
      <c r="F6" s="11">
        <v>32.040749999999996</v>
      </c>
      <c r="G6" s="11">
        <v>31.793759550000011</v>
      </c>
      <c r="H6" s="11">
        <v>31.18319232</v>
      </c>
      <c r="I6" s="11">
        <v>30.707875699200002</v>
      </c>
      <c r="J6" s="11">
        <v>29.621974007807999</v>
      </c>
    </row>
    <row r="7" spans="1:10" x14ac:dyDescent="0.25">
      <c r="A7" s="8" t="s">
        <v>20</v>
      </c>
      <c r="B7" s="44">
        <v>1858</v>
      </c>
      <c r="C7" s="44">
        <v>2263</v>
      </c>
      <c r="D7" s="44">
        <v>2610</v>
      </c>
      <c r="E7" s="44">
        <v>2919</v>
      </c>
      <c r="F7" s="14">
        <v>3236.1157499999999</v>
      </c>
      <c r="G7" s="14">
        <v>3564.4337095500009</v>
      </c>
      <c r="H7" s="14">
        <v>3929.08223232</v>
      </c>
      <c r="I7" s="14">
        <v>4417.5472612991998</v>
      </c>
      <c r="J7" s="14">
        <v>4966.6176419758076</v>
      </c>
    </row>
    <row r="9" spans="1:10" x14ac:dyDescent="0.25">
      <c r="A9" s="8" t="s">
        <v>43</v>
      </c>
    </row>
    <row r="10" spans="1:10" x14ac:dyDescent="0.25">
      <c r="A10" s="3" t="s">
        <v>41</v>
      </c>
      <c r="B10" s="43">
        <v>-464</v>
      </c>
      <c r="C10" s="43">
        <v>-502</v>
      </c>
      <c r="D10" s="43">
        <v>-549</v>
      </c>
      <c r="E10" s="43">
        <v>-578</v>
      </c>
      <c r="F10" s="11">
        <v>-640.81500000000005</v>
      </c>
      <c r="G10" s="11">
        <v>-706.52799000000016</v>
      </c>
      <c r="H10" s="11">
        <v>-779.57980799999996</v>
      </c>
      <c r="I10" s="11">
        <v>-877.36787712000012</v>
      </c>
      <c r="J10" s="11">
        <v>-987.39913359360003</v>
      </c>
    </row>
    <row r="11" spans="1:10" x14ac:dyDescent="0.25">
      <c r="A11" s="6" t="s">
        <v>42</v>
      </c>
      <c r="B11" s="42">
        <v>-82</v>
      </c>
      <c r="C11" s="42">
        <v>-79</v>
      </c>
      <c r="D11" s="42">
        <v>-69</v>
      </c>
      <c r="E11" s="42">
        <v>-83</v>
      </c>
      <c r="F11" s="12">
        <v>-41.796932033494961</v>
      </c>
      <c r="G11" s="12">
        <v>-41.474734736254049</v>
      </c>
      <c r="H11" s="12">
        <v>-40.678254097873563</v>
      </c>
      <c r="I11" s="12">
        <v>-40.058206923760345</v>
      </c>
      <c r="J11" s="12">
        <v>-38.641655838340412</v>
      </c>
    </row>
    <row r="12" spans="1:10" x14ac:dyDescent="0.25">
      <c r="A12" s="8" t="s">
        <v>21</v>
      </c>
      <c r="B12" s="47">
        <v>-546</v>
      </c>
      <c r="C12" s="47">
        <v>-581</v>
      </c>
      <c r="D12" s="47">
        <v>-618</v>
      </c>
      <c r="E12" s="47">
        <v>-661</v>
      </c>
      <c r="F12" s="13">
        <v>-682.61193203349501</v>
      </c>
      <c r="G12" s="13">
        <v>-748.00272473625421</v>
      </c>
      <c r="H12" s="13">
        <v>-820.25806209787356</v>
      </c>
      <c r="I12" s="13">
        <v>-917.42608404376051</v>
      </c>
      <c r="J12" s="13">
        <v>-1026.0407894319405</v>
      </c>
    </row>
    <row r="14" spans="1:10" x14ac:dyDescent="0.25">
      <c r="A14" s="8" t="s">
        <v>44</v>
      </c>
      <c r="B14" s="44">
        <v>1312</v>
      </c>
      <c r="C14" s="44">
        <v>1682</v>
      </c>
      <c r="D14" s="44">
        <v>1992</v>
      </c>
      <c r="E14" s="44">
        <v>2258</v>
      </c>
      <c r="F14" s="14">
        <v>2553.5038179665048</v>
      </c>
      <c r="G14" s="14">
        <v>2816.4309848137468</v>
      </c>
      <c r="H14" s="14">
        <v>3108.8241702221267</v>
      </c>
      <c r="I14" s="14">
        <v>3500.1211772554393</v>
      </c>
      <c r="J14" s="14">
        <v>3940.5768525438671</v>
      </c>
    </row>
    <row r="16" spans="1:10" x14ac:dyDescent="0.25">
      <c r="A16" s="2" t="s">
        <v>45</v>
      </c>
    </row>
    <row r="17" spans="1:10" x14ac:dyDescent="0.25">
      <c r="A17" s="3" t="s">
        <v>40</v>
      </c>
      <c r="B17" s="43">
        <v>-620</v>
      </c>
      <c r="C17" s="43">
        <v>-656</v>
      </c>
      <c r="D17" s="43">
        <v>-642</v>
      </c>
      <c r="E17" s="43">
        <v>-639</v>
      </c>
      <c r="F17" s="11">
        <v>-672.99899487410062</v>
      </c>
      <c r="G17" s="11">
        <v>-704.21377499596144</v>
      </c>
      <c r="H17" s="11">
        <v>-737.44340720784339</v>
      </c>
      <c r="I17" s="11">
        <v>-787.66652507882611</v>
      </c>
      <c r="J17" s="11">
        <v>-841.28959276482317</v>
      </c>
    </row>
    <row r="18" spans="1:10" x14ac:dyDescent="0.25">
      <c r="A18" s="3" t="s">
        <v>39</v>
      </c>
      <c r="B18" s="43">
        <v>-1066</v>
      </c>
      <c r="C18" s="43">
        <v>-1036</v>
      </c>
      <c r="D18" s="43">
        <v>-965</v>
      </c>
      <c r="E18" s="43">
        <v>-1018</v>
      </c>
      <c r="F18" s="11">
        <v>-1072.164282913669</v>
      </c>
      <c r="G18" s="11">
        <v>-1121.8929936555378</v>
      </c>
      <c r="H18" s="11">
        <v>-1174.8315939555312</v>
      </c>
      <c r="I18" s="11">
        <v>-1254.8427582632937</v>
      </c>
      <c r="J18" s="11">
        <v>-1340.2704310400463</v>
      </c>
    </row>
    <row r="19" spans="1:10" x14ac:dyDescent="0.25">
      <c r="A19" s="3" t="s">
        <v>46</v>
      </c>
      <c r="B19" s="43">
        <v>-409</v>
      </c>
      <c r="C19" s="43">
        <v>-450</v>
      </c>
      <c r="D19" s="43">
        <v>-448</v>
      </c>
      <c r="E19" s="43">
        <v>-448</v>
      </c>
      <c r="F19" s="11">
        <v>-448.10830835325288</v>
      </c>
      <c r="G19" s="11">
        <v>-448.50342781885405</v>
      </c>
      <c r="H19" s="11">
        <v>-448.8671976637865</v>
      </c>
      <c r="I19" s="11">
        <v>-448.20378800229901</v>
      </c>
      <c r="J19" s="11">
        <v>-447.54287571636769</v>
      </c>
    </row>
    <row r="20" spans="1:10" x14ac:dyDescent="0.25">
      <c r="A20" s="6" t="s">
        <v>47</v>
      </c>
      <c r="B20" s="42">
        <v>-29</v>
      </c>
      <c r="C20" s="42">
        <v>-56</v>
      </c>
      <c r="D20" s="42">
        <v>-11</v>
      </c>
      <c r="E20" s="42">
        <v>-4</v>
      </c>
      <c r="F20" s="12">
        <v>-3.2361157500000002</v>
      </c>
      <c r="G20" s="12">
        <v>-3.5644337095500012</v>
      </c>
      <c r="H20" s="12">
        <v>-3.9290822323199999</v>
      </c>
      <c r="I20" s="12">
        <v>-4.4175472612991999</v>
      </c>
      <c r="J20" s="12">
        <v>-4.9666176419758079</v>
      </c>
    </row>
    <row r="21" spans="1:10" x14ac:dyDescent="0.25">
      <c r="A21" s="2" t="s">
        <v>48</v>
      </c>
      <c r="B21" s="43">
        <v>-2124</v>
      </c>
      <c r="C21" s="43">
        <v>-2198</v>
      </c>
      <c r="D21" s="43">
        <v>-2066</v>
      </c>
      <c r="E21" s="43">
        <v>-2109</v>
      </c>
      <c r="F21" s="11">
        <v>-2196.5077018910224</v>
      </c>
      <c r="G21" s="11">
        <v>-2278.1746301799035</v>
      </c>
      <c r="H21" s="11">
        <v>-2365.071281059481</v>
      </c>
      <c r="I21" s="11">
        <v>-2495.1306186057182</v>
      </c>
      <c r="J21" s="11">
        <v>-2634.0695171632133</v>
      </c>
    </row>
    <row r="22" spans="1:10" x14ac:dyDescent="0.25">
      <c r="A22" s="2"/>
      <c r="B22" s="20"/>
      <c r="C22" s="20"/>
      <c r="D22" s="20"/>
      <c r="E22" s="20"/>
      <c r="F22" s="20"/>
      <c r="G22" s="20"/>
      <c r="H22" s="20"/>
      <c r="I22" s="20"/>
      <c r="J22" s="20"/>
    </row>
    <row r="23" spans="1:10" x14ac:dyDescent="0.25">
      <c r="A23" s="2" t="s">
        <v>72</v>
      </c>
      <c r="B23" s="44">
        <v>-812</v>
      </c>
      <c r="C23" s="44">
        <v>-516</v>
      </c>
      <c r="D23" s="44">
        <v>-74</v>
      </c>
      <c r="E23" s="44">
        <v>149</v>
      </c>
      <c r="F23" s="14">
        <v>356.9961160754824</v>
      </c>
      <c r="G23" s="14">
        <v>538.25635463384333</v>
      </c>
      <c r="H23" s="14">
        <v>743.75288916264572</v>
      </c>
      <c r="I23" s="14">
        <v>1004.9905586497212</v>
      </c>
      <c r="J23" s="14">
        <v>1306.5073353806538</v>
      </c>
    </row>
    <row r="24" spans="1:10" x14ac:dyDescent="0.25">
      <c r="A24" s="2" t="s">
        <v>57</v>
      </c>
      <c r="B24" s="45">
        <v>-0.43702906350914961</v>
      </c>
      <c r="C24" s="45">
        <v>-0.22801590808661068</v>
      </c>
      <c r="D24" s="45">
        <v>-2.8352490421455937E-2</v>
      </c>
      <c r="E24" s="45">
        <v>5.1044878383007877E-2</v>
      </c>
      <c r="F24" s="22">
        <v>0.11031623824811657</v>
      </c>
      <c r="G24" s="22">
        <v>0.15100753681902435</v>
      </c>
      <c r="H24" s="22">
        <v>0.18929430467111474</v>
      </c>
      <c r="I24" s="22">
        <v>0.22749967328117585</v>
      </c>
      <c r="J24" s="22">
        <v>0.26305776477307047</v>
      </c>
    </row>
    <row r="26" spans="1:10" x14ac:dyDescent="0.25">
      <c r="A26" s="2" t="s">
        <v>71</v>
      </c>
      <c r="B26" s="46">
        <v>-698</v>
      </c>
      <c r="C26" s="46">
        <v>-432</v>
      </c>
      <c r="D26" s="46">
        <v>14</v>
      </c>
      <c r="E26" s="46">
        <v>245</v>
      </c>
      <c r="F26" s="25">
        <v>422.9961160754824</v>
      </c>
      <c r="G26" s="25">
        <v>585.03179707928996</v>
      </c>
      <c r="H26" s="25">
        <v>784.39705766824227</v>
      </c>
      <c r="I26" s="25">
        <v>1033.9349606481924</v>
      </c>
      <c r="J26" s="25">
        <v>1333.8407419117934</v>
      </c>
    </row>
    <row r="27" spans="1:10" x14ac:dyDescent="0.25">
      <c r="A27" s="2" t="s">
        <v>73</v>
      </c>
      <c r="B27" s="45">
        <v>-0.37567276641550051</v>
      </c>
      <c r="C27" s="45">
        <v>-0.19089703932832522</v>
      </c>
      <c r="D27" s="45">
        <v>5.3639846743295016E-3</v>
      </c>
      <c r="E27" s="45">
        <v>8.3932853717026384E-2</v>
      </c>
      <c r="F27" s="22">
        <v>0.13071105879803044</v>
      </c>
      <c r="G27" s="22">
        <v>0.16413036256273889</v>
      </c>
      <c r="H27" s="22">
        <v>0.19963874800479306</v>
      </c>
      <c r="I27" s="22">
        <v>0.2340518164245089</v>
      </c>
      <c r="J27" s="22">
        <v>0.26856118953847397</v>
      </c>
    </row>
    <row r="29" spans="1:10" x14ac:dyDescent="0.25">
      <c r="B29" s="37"/>
      <c r="C29" s="37"/>
      <c r="D29" s="37"/>
      <c r="E29" s="37"/>
      <c r="F29" s="37"/>
      <c r="G29" s="37"/>
      <c r="H29" s="37"/>
      <c r="I29" s="37"/>
      <c r="J29" s="37"/>
    </row>
    <row r="30" spans="1:10" x14ac:dyDescent="0.25">
      <c r="A30" s="7" t="s">
        <v>22</v>
      </c>
      <c r="B30" s="42">
        <v>11</v>
      </c>
      <c r="C30" s="42">
        <v>179</v>
      </c>
      <c r="D30" s="42">
        <v>120</v>
      </c>
      <c r="E30" s="42">
        <v>106</v>
      </c>
      <c r="F30" s="12">
        <v>107.22600000000001</v>
      </c>
      <c r="G30" s="12">
        <v>89.215602962495424</v>
      </c>
      <c r="H30" s="12">
        <v>84</v>
      </c>
      <c r="I30" s="12">
        <v>84</v>
      </c>
      <c r="J30" s="12">
        <v>84</v>
      </c>
    </row>
    <row r="31" spans="1:10" x14ac:dyDescent="0.25">
      <c r="A31" t="s">
        <v>24</v>
      </c>
      <c r="B31" s="43">
        <v>-801</v>
      </c>
      <c r="C31" s="43">
        <v>-337</v>
      </c>
      <c r="D31" s="43">
        <v>46</v>
      </c>
      <c r="E31" s="43">
        <v>255</v>
      </c>
      <c r="F31" s="11">
        <v>464.2221160754824</v>
      </c>
      <c r="G31" s="11">
        <v>627.47195759633871</v>
      </c>
      <c r="H31" s="11">
        <v>827.75288916264572</v>
      </c>
      <c r="I31" s="11">
        <v>1088.9905586497212</v>
      </c>
      <c r="J31" s="11">
        <v>1390.5073353806538</v>
      </c>
    </row>
    <row r="32" spans="1:10" x14ac:dyDescent="0.25">
      <c r="A32" s="7" t="s">
        <v>23</v>
      </c>
      <c r="B32" s="42">
        <v>-14</v>
      </c>
      <c r="C32" s="42">
        <v>-18</v>
      </c>
      <c r="D32" s="42">
        <v>-18</v>
      </c>
      <c r="E32" s="42">
        <v>-20</v>
      </c>
      <c r="F32" s="32">
        <v>-22</v>
      </c>
      <c r="G32" s="32">
        <v>-24</v>
      </c>
      <c r="H32" s="32">
        <v>-26</v>
      </c>
      <c r="I32" s="32">
        <v>-28</v>
      </c>
      <c r="J32" s="32">
        <v>-28</v>
      </c>
    </row>
    <row r="33" spans="1:10" x14ac:dyDescent="0.25">
      <c r="A33" s="2" t="s">
        <v>25</v>
      </c>
      <c r="B33" s="44">
        <v>-815</v>
      </c>
      <c r="C33" s="44">
        <v>-355</v>
      </c>
      <c r="D33" s="44">
        <v>28</v>
      </c>
      <c r="E33" s="44">
        <v>235</v>
      </c>
      <c r="F33" s="14">
        <v>442.2221160754824</v>
      </c>
      <c r="G33" s="14">
        <v>603.47195759633871</v>
      </c>
      <c r="H33" s="14">
        <v>801.75288916264572</v>
      </c>
      <c r="I33" s="14">
        <v>1060.9905586497212</v>
      </c>
      <c r="J33" s="14">
        <v>1362.5073353806538</v>
      </c>
    </row>
    <row r="34" spans="1:10" x14ac:dyDescent="0.25">
      <c r="A34" s="2" t="s">
        <v>58</v>
      </c>
      <c r="B34" s="45">
        <v>-0.43864370290635091</v>
      </c>
      <c r="C34" s="45">
        <v>-0.15687140963323024</v>
      </c>
      <c r="D34" s="45">
        <v>1.0727969348659003E-2</v>
      </c>
      <c r="E34" s="45">
        <v>8.0507022953066124E-2</v>
      </c>
      <c r="F34" s="22">
        <v>0.13665213182670688</v>
      </c>
      <c r="G34" s="22">
        <v>0.16930373988425926</v>
      </c>
      <c r="H34" s="22">
        <v>0.20405602167538137</v>
      </c>
      <c r="I34" s="22">
        <v>0.24017639108125444</v>
      </c>
      <c r="J34" s="22">
        <v>0.27433304385368884</v>
      </c>
    </row>
    <row r="35" spans="1:10" x14ac:dyDescent="0.25">
      <c r="F35" s="25"/>
      <c r="G35" s="25"/>
      <c r="H35" s="25"/>
      <c r="I35" s="25"/>
      <c r="J35" s="25"/>
    </row>
    <row r="36" spans="1:10" x14ac:dyDescent="0.25">
      <c r="A36" s="2" t="s">
        <v>396</v>
      </c>
      <c r="C36" s="37"/>
      <c r="D36" s="37"/>
      <c r="E36" s="37"/>
    </row>
    <row r="37" spans="1:10" x14ac:dyDescent="0.25">
      <c r="A37" s="3" t="s">
        <v>397</v>
      </c>
      <c r="B37" s="41">
        <v>158.023</v>
      </c>
      <c r="C37" s="41">
        <v>163.63399999999999</v>
      </c>
      <c r="D37" s="41">
        <v>169.56899999999999</v>
      </c>
      <c r="E37" s="41">
        <v>175.88200000000001</v>
      </c>
      <c r="F37" s="39">
        <v>170.6653251020841</v>
      </c>
      <c r="G37" s="39">
        <v>177.01914093734561</v>
      </c>
      <c r="H37" s="39">
        <v>183.60950731762424</v>
      </c>
      <c r="I37" s="39">
        <v>190.44523094456173</v>
      </c>
      <c r="J37" s="39">
        <v>197.53544639050421</v>
      </c>
    </row>
    <row r="38" spans="1:10" x14ac:dyDescent="0.25">
      <c r="A38" s="3" t="s">
        <v>398</v>
      </c>
      <c r="B38" s="41">
        <v>158.023</v>
      </c>
      <c r="C38" s="41">
        <v>163.63399999999999</v>
      </c>
      <c r="D38" s="41">
        <v>175.08600000000001</v>
      </c>
      <c r="E38" s="41">
        <v>179.29</v>
      </c>
      <c r="F38" s="39">
        <v>173.22530497861536</v>
      </c>
      <c r="G38" s="39">
        <v>178.78933234671908</v>
      </c>
      <c r="H38" s="39">
        <v>185.44560239080047</v>
      </c>
      <c r="I38" s="39">
        <v>192.34968325400735</v>
      </c>
      <c r="J38" s="39">
        <v>199.51080085440924</v>
      </c>
    </row>
    <row r="39" spans="1:10" x14ac:dyDescent="0.25">
      <c r="B39" s="36"/>
      <c r="C39" s="22"/>
      <c r="D39" s="22"/>
      <c r="E39" s="22"/>
    </row>
    <row r="40" spans="1:10" x14ac:dyDescent="0.25">
      <c r="A40" s="2" t="s">
        <v>399</v>
      </c>
      <c r="B40" s="36"/>
      <c r="C40" s="36"/>
      <c r="D40" s="36"/>
      <c r="E40" s="36"/>
    </row>
    <row r="41" spans="1:10" x14ac:dyDescent="0.25">
      <c r="A41" s="3" t="s">
        <v>397</v>
      </c>
      <c r="B41" s="40">
        <v>-5.16</v>
      </c>
      <c r="C41" s="40">
        <v>-2.17</v>
      </c>
      <c r="D41" s="40">
        <v>0.16</v>
      </c>
      <c r="E41" s="40">
        <v>1.33</v>
      </c>
      <c r="F41" s="18">
        <v>2.591165579832726</v>
      </c>
      <c r="G41" s="18">
        <v>3.409077427451376</v>
      </c>
      <c r="H41" s="18">
        <v>4.3666196858515693</v>
      </c>
      <c r="I41" s="18">
        <v>5.5711059467725583</v>
      </c>
      <c r="J41" s="18">
        <v>6.8975333808552923</v>
      </c>
    </row>
    <row r="42" spans="1:10" x14ac:dyDescent="0.25">
      <c r="A42" s="3" t="s">
        <v>398</v>
      </c>
      <c r="B42" s="40">
        <v>-5.16</v>
      </c>
      <c r="C42" s="40">
        <v>-2.17</v>
      </c>
      <c r="D42" s="40">
        <v>0.06</v>
      </c>
      <c r="E42" s="40">
        <v>1.31</v>
      </c>
      <c r="F42" s="18">
        <v>2.5528724924460353</v>
      </c>
      <c r="G42" s="18">
        <v>3.3753241855954212</v>
      </c>
      <c r="H42" s="18">
        <v>4.3233858275758115</v>
      </c>
      <c r="I42" s="18">
        <v>5.5159464819530282</v>
      </c>
      <c r="J42" s="18">
        <v>6.8292409711438538</v>
      </c>
    </row>
    <row r="43" spans="1:10" x14ac:dyDescent="0.25">
      <c r="A43" s="3" t="s">
        <v>395</v>
      </c>
      <c r="C43" s="20">
        <v>-0.5794573643410853</v>
      </c>
      <c r="D43" s="20">
        <v>-1.0737327188940091</v>
      </c>
      <c r="E43" s="20">
        <v>7.3125</v>
      </c>
      <c r="F43" s="20">
        <v>0.94824479686671115</v>
      </c>
      <c r="G43" s="20">
        <v>0.31565402612034177</v>
      </c>
      <c r="H43" s="20">
        <v>0.28088017323679604</v>
      </c>
      <c r="I43" s="20">
        <v>0.27583951605029511</v>
      </c>
      <c r="J43" s="20">
        <v>0.2380905060423697</v>
      </c>
    </row>
    <row r="46" spans="1:10" x14ac:dyDescent="0.25">
      <c r="A46" s="17" t="s">
        <v>1</v>
      </c>
      <c r="B46" s="129">
        <v>44957</v>
      </c>
      <c r="C46" s="129">
        <v>45322</v>
      </c>
      <c r="D46" s="129">
        <v>45688</v>
      </c>
      <c r="E46" s="129">
        <v>46053</v>
      </c>
      <c r="F46" s="130">
        <v>46418</v>
      </c>
      <c r="G46" s="130">
        <v>46783</v>
      </c>
      <c r="H46" s="130">
        <v>47149</v>
      </c>
      <c r="I46" s="130">
        <v>47514</v>
      </c>
      <c r="J46" s="130">
        <v>47879</v>
      </c>
    </row>
    <row r="47" spans="1:10" x14ac:dyDescent="0.25">
      <c r="A47" s="1"/>
      <c r="D47" s="20"/>
      <c r="E47" s="20"/>
    </row>
    <row r="48" spans="1:10" x14ac:dyDescent="0.25">
      <c r="A48" s="2" t="s">
        <v>18</v>
      </c>
      <c r="C48" s="58"/>
      <c r="D48" s="58"/>
      <c r="E48" s="58"/>
      <c r="F48" s="5"/>
      <c r="G48" s="5"/>
      <c r="H48" s="5"/>
      <c r="I48" s="5"/>
      <c r="J48" s="5"/>
    </row>
    <row r="49" spans="1:10" x14ac:dyDescent="0.25">
      <c r="A49" s="3" t="s">
        <v>302</v>
      </c>
      <c r="C49" s="48">
        <v>2202</v>
      </c>
      <c r="D49" s="48">
        <v>2523</v>
      </c>
      <c r="E49" s="48">
        <v>2553</v>
      </c>
      <c r="F49" s="135">
        <v>2124.1810229165576</v>
      </c>
      <c r="G49" s="135">
        <v>2000</v>
      </c>
      <c r="H49" s="135">
        <v>2000</v>
      </c>
      <c r="I49" s="135">
        <v>2000</v>
      </c>
      <c r="J49" s="135">
        <v>2000</v>
      </c>
    </row>
    <row r="50" spans="1:10" x14ac:dyDescent="0.25">
      <c r="A50" s="3" t="s">
        <v>2</v>
      </c>
      <c r="C50" s="49">
        <v>559</v>
      </c>
      <c r="D50" s="49">
        <v>621</v>
      </c>
      <c r="E50" s="49">
        <v>687</v>
      </c>
      <c r="F50" s="5">
        <v>754.01829566546758</v>
      </c>
      <c r="G50" s="5">
        <v>822.21155049245613</v>
      </c>
      <c r="H50" s="5">
        <v>897.26214229678385</v>
      </c>
      <c r="I50" s="5">
        <v>998.72201907565307</v>
      </c>
      <c r="J50" s="5">
        <v>1111.6276532903246</v>
      </c>
    </row>
    <row r="51" spans="1:10" x14ac:dyDescent="0.25">
      <c r="A51" s="3" t="s">
        <v>49</v>
      </c>
      <c r="C51" s="49">
        <v>355</v>
      </c>
      <c r="D51" s="49">
        <v>407</v>
      </c>
      <c r="E51" s="49">
        <v>503</v>
      </c>
      <c r="F51" s="5">
        <v>550.78748225283903</v>
      </c>
      <c r="G51" s="5">
        <v>616.8819801231798</v>
      </c>
      <c r="H51" s="5">
        <v>690.90781773796141</v>
      </c>
      <c r="I51" s="5">
        <v>773.81675586651693</v>
      </c>
      <c r="J51" s="5">
        <v>866.67476657049906</v>
      </c>
    </row>
    <row r="52" spans="1:10" x14ac:dyDescent="0.25">
      <c r="A52" s="3" t="s">
        <v>272</v>
      </c>
      <c r="C52" s="49">
        <v>106</v>
      </c>
      <c r="D52" s="49">
        <v>132</v>
      </c>
      <c r="E52" s="49">
        <v>233</v>
      </c>
      <c r="F52" s="5">
        <v>275.95899914022334</v>
      </c>
      <c r="G52" s="5">
        <v>321.5098840311166</v>
      </c>
      <c r="H52" s="5">
        <v>368.79822104230982</v>
      </c>
      <c r="I52" s="5">
        <v>418.68702503925238</v>
      </c>
      <c r="J52" s="5">
        <v>471.35383810153166</v>
      </c>
    </row>
    <row r="53" spans="1:10" x14ac:dyDescent="0.25">
      <c r="A53" s="3" t="s">
        <v>14</v>
      </c>
      <c r="C53" s="49">
        <v>83</v>
      </c>
      <c r="D53" s="49">
        <v>74</v>
      </c>
      <c r="E53" s="49">
        <v>65</v>
      </c>
      <c r="F53" s="5">
        <v>56</v>
      </c>
      <c r="G53" s="5">
        <v>47</v>
      </c>
      <c r="H53" s="5">
        <v>38</v>
      </c>
      <c r="I53" s="5">
        <v>38</v>
      </c>
      <c r="J53" s="5">
        <v>38</v>
      </c>
    </row>
    <row r="54" spans="1:10" x14ac:dyDescent="0.25">
      <c r="A54" s="3" t="s">
        <v>15</v>
      </c>
      <c r="C54" s="49">
        <v>5406</v>
      </c>
      <c r="D54" s="49">
        <v>5448</v>
      </c>
      <c r="E54" s="49">
        <v>5487</v>
      </c>
      <c r="F54" s="145">
        <v>5487</v>
      </c>
      <c r="G54" s="5">
        <v>5487</v>
      </c>
      <c r="H54" s="5">
        <v>5487</v>
      </c>
      <c r="I54" s="5">
        <v>5487</v>
      </c>
      <c r="J54" s="5">
        <v>5487</v>
      </c>
    </row>
    <row r="55" spans="1:10" x14ac:dyDescent="0.25">
      <c r="A55" s="3" t="s">
        <v>124</v>
      </c>
      <c r="C55" s="49">
        <v>182</v>
      </c>
      <c r="D55" s="49">
        <v>138</v>
      </c>
      <c r="E55" s="49">
        <v>91</v>
      </c>
      <c r="F55" s="78">
        <v>102</v>
      </c>
      <c r="G55" s="78">
        <v>134</v>
      </c>
      <c r="H55" s="78">
        <v>173</v>
      </c>
      <c r="I55" s="78">
        <v>225</v>
      </c>
      <c r="J55" s="78">
        <v>280</v>
      </c>
    </row>
    <row r="56" spans="1:10" x14ac:dyDescent="0.25">
      <c r="A56" s="6" t="s">
        <v>353</v>
      </c>
      <c r="B56" s="7"/>
      <c r="C56" s="50">
        <v>96</v>
      </c>
      <c r="D56" s="50">
        <v>94</v>
      </c>
      <c r="E56" s="50">
        <v>91</v>
      </c>
      <c r="F56" s="146">
        <v>91.958999140223369</v>
      </c>
      <c r="G56" s="147">
        <v>91.958999140223369</v>
      </c>
      <c r="H56" s="147">
        <v>91.958999140223369</v>
      </c>
      <c r="I56" s="147">
        <v>91.958999140223369</v>
      </c>
      <c r="J56" s="147">
        <v>91.958999140223369</v>
      </c>
    </row>
    <row r="57" spans="1:10" x14ac:dyDescent="0.25">
      <c r="A57" s="2" t="s">
        <v>3</v>
      </c>
      <c r="C57" s="51">
        <v>8989</v>
      </c>
      <c r="D57" s="51">
        <v>9437</v>
      </c>
      <c r="E57" s="51">
        <v>9710</v>
      </c>
      <c r="F57" s="131">
        <v>9441.9047991153111</v>
      </c>
      <c r="G57" s="131">
        <v>9520.5624137869745</v>
      </c>
      <c r="H57" s="131">
        <v>9746.9271802172789</v>
      </c>
      <c r="I57" s="131">
        <v>10033.184799121644</v>
      </c>
      <c r="J57" s="131">
        <v>10346.615257102578</v>
      </c>
    </row>
    <row r="58" spans="1:10" x14ac:dyDescent="0.25">
      <c r="D58" s="5"/>
      <c r="E58" s="5"/>
      <c r="F58" s="5"/>
    </row>
    <row r="59" spans="1:10" x14ac:dyDescent="0.25">
      <c r="A59" s="8" t="s">
        <v>4</v>
      </c>
    </row>
    <row r="60" spans="1:10" x14ac:dyDescent="0.25">
      <c r="A60" s="3" t="s">
        <v>6</v>
      </c>
      <c r="C60" s="43">
        <v>-12</v>
      </c>
      <c r="D60" s="43">
        <v>-13</v>
      </c>
      <c r="E60" s="43">
        <v>-12</v>
      </c>
      <c r="F60" s="11">
        <v>-12.888385827660391</v>
      </c>
      <c r="G60" s="11">
        <v>-13.366358277234967</v>
      </c>
      <c r="H60" s="11">
        <v>-13.874848807938831</v>
      </c>
      <c r="I60" s="11">
        <v>-14.636249907365487</v>
      </c>
      <c r="J60" s="11">
        <v>-15.449474093297095</v>
      </c>
    </row>
    <row r="61" spans="1:10" x14ac:dyDescent="0.25">
      <c r="A61" s="3" t="s">
        <v>5</v>
      </c>
      <c r="C61" s="43">
        <v>-115</v>
      </c>
      <c r="D61" s="43">
        <v>-103</v>
      </c>
      <c r="E61" s="43">
        <v>-104</v>
      </c>
      <c r="F61" s="11">
        <v>-107.6288773926601</v>
      </c>
      <c r="G61" s="11">
        <v>-111.63055687881527</v>
      </c>
      <c r="H61" s="11">
        <v>-115.88849277191457</v>
      </c>
      <c r="I61" s="11">
        <v>-122.26140031168019</v>
      </c>
      <c r="J61" s="11">
        <v>-129.06940634099746</v>
      </c>
    </row>
    <row r="62" spans="1:10" x14ac:dyDescent="0.25">
      <c r="A62" s="3" t="s">
        <v>8</v>
      </c>
      <c r="C62" s="43">
        <v>-1154</v>
      </c>
      <c r="D62" s="43">
        <v>-858</v>
      </c>
      <c r="E62" s="43">
        <v>-350</v>
      </c>
      <c r="F62" s="11">
        <v>0</v>
      </c>
      <c r="G62" s="11">
        <v>0</v>
      </c>
      <c r="H62" s="11">
        <v>0</v>
      </c>
      <c r="I62" s="11">
        <v>0</v>
      </c>
      <c r="J62" s="11">
        <v>0</v>
      </c>
    </row>
    <row r="63" spans="1:10" x14ac:dyDescent="0.25">
      <c r="A63" s="3"/>
      <c r="C63" s="45"/>
      <c r="D63" s="45"/>
      <c r="E63" s="45"/>
      <c r="F63" s="11"/>
      <c r="G63" s="11"/>
      <c r="H63" s="11"/>
      <c r="I63" s="11"/>
    </row>
    <row r="64" spans="1:10" x14ac:dyDescent="0.25">
      <c r="A64" s="3" t="s">
        <v>110</v>
      </c>
      <c r="C64" s="43">
        <v>-167</v>
      </c>
      <c r="D64" s="43">
        <v>-207</v>
      </c>
      <c r="E64" s="43">
        <v>-213</v>
      </c>
      <c r="F64" s="11">
        <v>-221.83790445841052</v>
      </c>
      <c r="G64" s="11">
        <v>-230.08591570806993</v>
      </c>
      <c r="H64" s="11">
        <v>-238.86210662193906</v>
      </c>
      <c r="I64" s="11">
        <v>-251.99754469559886</v>
      </c>
      <c r="J64" s="11">
        <v>-266.02978053853224</v>
      </c>
    </row>
    <row r="65" spans="1:10" x14ac:dyDescent="0.25">
      <c r="A65" s="3" t="s">
        <v>50</v>
      </c>
      <c r="C65" s="43">
        <v>-1511</v>
      </c>
      <c r="D65" s="43">
        <v>-1718</v>
      </c>
      <c r="E65" s="43">
        <v>-1905</v>
      </c>
      <c r="F65" s="11">
        <v>-2067.8868000000002</v>
      </c>
      <c r="G65" s="11">
        <v>-2270.6208000000006</v>
      </c>
      <c r="H65" s="11">
        <v>-2543.0952960000009</v>
      </c>
      <c r="I65" s="11">
        <v>-2848.2667315200015</v>
      </c>
      <c r="J65" s="11">
        <v>-3190.0587393024016</v>
      </c>
    </row>
    <row r="66" spans="1:10" x14ac:dyDescent="0.25">
      <c r="A66" s="3" t="s">
        <v>9</v>
      </c>
      <c r="C66" s="43">
        <v>-112</v>
      </c>
      <c r="D66" s="43">
        <v>-94</v>
      </c>
      <c r="E66" s="43">
        <v>-72</v>
      </c>
      <c r="F66" s="11">
        <v>-36</v>
      </c>
      <c r="G66" s="11">
        <v>-39</v>
      </c>
      <c r="H66" s="11">
        <v>-31</v>
      </c>
      <c r="I66" s="11">
        <v>-31</v>
      </c>
      <c r="J66" s="11">
        <v>-31</v>
      </c>
    </row>
    <row r="67" spans="1:10" x14ac:dyDescent="0.25">
      <c r="A67" s="6" t="s">
        <v>7</v>
      </c>
      <c r="B67" s="7"/>
      <c r="C67" s="42">
        <v>-30</v>
      </c>
      <c r="D67" s="42">
        <v>-39</v>
      </c>
      <c r="E67" s="42">
        <v>-55</v>
      </c>
      <c r="F67" s="12">
        <v>-30.824124047943471</v>
      </c>
      <c r="G67" s="12">
        <v>-42.310573623380883</v>
      </c>
      <c r="H67" s="12">
        <v>-49.774614826895458</v>
      </c>
      <c r="I67" s="12">
        <v>-56.981772555860026</v>
      </c>
      <c r="J67" s="12">
        <v>-65.12202577812576</v>
      </c>
    </row>
    <row r="68" spans="1:10" x14ac:dyDescent="0.25">
      <c r="A68" s="9" t="s">
        <v>10</v>
      </c>
      <c r="C68" s="52">
        <v>-3101</v>
      </c>
      <c r="D68" s="52">
        <v>-3032</v>
      </c>
      <c r="E68" s="52">
        <v>-2711</v>
      </c>
      <c r="F68" s="132">
        <v>-2477.0660917266746</v>
      </c>
      <c r="G68" s="132">
        <v>-2707.014204487502</v>
      </c>
      <c r="H68" s="132">
        <v>-2992.4953590286887</v>
      </c>
      <c r="I68" s="132">
        <v>-3325.143698990506</v>
      </c>
      <c r="J68" s="132">
        <v>-3696.729426053354</v>
      </c>
    </row>
    <row r="69" spans="1:10" x14ac:dyDescent="0.25">
      <c r="A69" s="3"/>
      <c r="C69" s="85"/>
      <c r="D69" s="46"/>
      <c r="E69" s="46"/>
    </row>
    <row r="70" spans="1:10" x14ac:dyDescent="0.25">
      <c r="A70" s="6" t="s">
        <v>11</v>
      </c>
      <c r="B70" s="7"/>
      <c r="C70" s="50">
        <v>-5888</v>
      </c>
      <c r="D70" s="50">
        <v>-6405</v>
      </c>
      <c r="E70" s="50">
        <v>-6999</v>
      </c>
      <c r="F70" s="136">
        <v>-6964.8387073886352</v>
      </c>
      <c r="G70" s="136">
        <v>-6813.5482092994735</v>
      </c>
      <c r="H70" s="136">
        <v>-6754.4318211885893</v>
      </c>
      <c r="I70" s="136">
        <v>-6708.0411001311386</v>
      </c>
      <c r="J70" s="136">
        <v>-6649.8858310492224</v>
      </c>
    </row>
    <row r="71" spans="1:10" x14ac:dyDescent="0.25">
      <c r="A71" s="8" t="s">
        <v>12</v>
      </c>
      <c r="C71" s="54">
        <v>-5888</v>
      </c>
      <c r="D71" s="54">
        <v>-6405</v>
      </c>
      <c r="E71" s="54">
        <v>-6999</v>
      </c>
      <c r="F71" s="137">
        <v>-6964.8387073886352</v>
      </c>
      <c r="G71" s="137">
        <v>-6813.5482092994735</v>
      </c>
      <c r="H71" s="137">
        <v>-6754.4318211885893</v>
      </c>
      <c r="I71" s="137">
        <v>-6708.0411001311386</v>
      </c>
      <c r="J71" s="137">
        <v>-6649.8858310492224</v>
      </c>
    </row>
    <row r="72" spans="1:10" x14ac:dyDescent="0.25">
      <c r="C72" s="53"/>
      <c r="D72" s="53"/>
      <c r="E72" s="53"/>
      <c r="F72" s="138"/>
      <c r="G72" s="138"/>
      <c r="H72" s="138"/>
      <c r="I72" s="138"/>
      <c r="J72" s="138"/>
    </row>
    <row r="73" spans="1:10" x14ac:dyDescent="0.25">
      <c r="A73" s="2" t="s">
        <v>13</v>
      </c>
      <c r="C73" s="51">
        <v>-8989</v>
      </c>
      <c r="D73" s="51">
        <v>-9437</v>
      </c>
      <c r="E73" s="51">
        <v>-9710</v>
      </c>
      <c r="F73" s="131">
        <v>-9441.9047991153093</v>
      </c>
      <c r="G73" s="131">
        <v>-9520.5624137869745</v>
      </c>
      <c r="H73" s="131">
        <v>-9746.9271802172771</v>
      </c>
      <c r="I73" s="131">
        <v>-10033.184799121645</v>
      </c>
      <c r="J73" s="131">
        <v>-10346.615257102576</v>
      </c>
    </row>
    <row r="74" spans="1:10" x14ac:dyDescent="0.25">
      <c r="C74" s="53"/>
      <c r="D74" s="53"/>
      <c r="E74" s="53"/>
      <c r="F74" s="138"/>
      <c r="G74" s="138"/>
      <c r="H74" s="138"/>
      <c r="I74" s="138"/>
      <c r="J74" s="138"/>
    </row>
    <row r="75" spans="1:10" x14ac:dyDescent="0.25">
      <c r="A75" t="s">
        <v>16</v>
      </c>
      <c r="B75" s="4"/>
      <c r="C75" s="144">
        <v>0</v>
      </c>
      <c r="D75" s="144">
        <v>0</v>
      </c>
      <c r="E75" s="144">
        <v>0</v>
      </c>
      <c r="F75" s="144">
        <v>0</v>
      </c>
      <c r="G75" s="144">
        <v>0</v>
      </c>
      <c r="H75" s="144">
        <v>0</v>
      </c>
      <c r="I75" s="144">
        <v>0</v>
      </c>
      <c r="J75" s="144">
        <v>0</v>
      </c>
    </row>
    <row r="76" spans="1:10" x14ac:dyDescent="0.25">
      <c r="B76" s="4"/>
      <c r="C76" s="142"/>
      <c r="D76" s="142"/>
      <c r="E76" s="142"/>
      <c r="F76" s="143"/>
      <c r="G76" s="143"/>
      <c r="H76" s="143"/>
      <c r="I76" s="143"/>
      <c r="J76" s="143"/>
    </row>
    <row r="77" spans="1:10" x14ac:dyDescent="0.25">
      <c r="B77" s="4"/>
      <c r="C77" s="48"/>
      <c r="D77" s="48"/>
      <c r="E77" s="48"/>
    </row>
    <row r="78" spans="1:10" x14ac:dyDescent="0.25">
      <c r="F78" s="4"/>
      <c r="G78" s="4"/>
      <c r="H78" s="4"/>
      <c r="I78" s="4"/>
      <c r="J78" s="4"/>
    </row>
    <row r="79" spans="1:10" x14ac:dyDescent="0.25">
      <c r="F79" s="135"/>
      <c r="G79" s="135"/>
      <c r="H79" s="135"/>
      <c r="I79" s="135"/>
      <c r="J79" s="135"/>
    </row>
    <row r="81" spans="1:10" x14ac:dyDescent="0.25">
      <c r="A81" s="17" t="s">
        <v>26</v>
      </c>
      <c r="B81" s="129">
        <v>44957</v>
      </c>
      <c r="C81" s="129">
        <v>45322</v>
      </c>
      <c r="D81" s="129">
        <v>45688</v>
      </c>
      <c r="E81" s="129">
        <v>46053</v>
      </c>
      <c r="F81" s="130">
        <v>46418</v>
      </c>
      <c r="G81" s="130">
        <v>46783</v>
      </c>
      <c r="H81" s="130">
        <v>47149</v>
      </c>
      <c r="I81" s="130">
        <v>47514</v>
      </c>
      <c r="J81" s="130">
        <v>47879</v>
      </c>
    </row>
    <row r="83" spans="1:10" x14ac:dyDescent="0.25">
      <c r="A83" s="2" t="s">
        <v>27</v>
      </c>
    </row>
    <row r="84" spans="1:10" x14ac:dyDescent="0.25">
      <c r="A84" s="9" t="s">
        <v>28</v>
      </c>
      <c r="B84" s="43">
        <v>-815</v>
      </c>
      <c r="C84" s="43">
        <v>-355</v>
      </c>
      <c r="D84" s="43">
        <v>28</v>
      </c>
      <c r="E84" s="43">
        <v>235</v>
      </c>
      <c r="F84" s="11">
        <v>442.2221160754824</v>
      </c>
      <c r="G84" s="11">
        <v>603.47195759633871</v>
      </c>
      <c r="H84" s="11">
        <v>801.75288916264572</v>
      </c>
      <c r="I84" s="11">
        <v>1060.9905586497212</v>
      </c>
      <c r="J84" s="11">
        <v>1362.5073353806538</v>
      </c>
    </row>
    <row r="85" spans="1:10" x14ac:dyDescent="0.25">
      <c r="A85" s="15" t="s">
        <v>358</v>
      </c>
      <c r="B85" s="111">
        <v>114</v>
      </c>
      <c r="C85" s="111">
        <v>84</v>
      </c>
      <c r="D85" s="111">
        <v>88</v>
      </c>
      <c r="E85" s="111">
        <v>96</v>
      </c>
      <c r="F85" s="148">
        <v>66</v>
      </c>
      <c r="G85" s="148">
        <v>46.775442445446608</v>
      </c>
      <c r="H85" s="148">
        <v>40.64416850559661</v>
      </c>
      <c r="I85" s="148">
        <v>28.944401998471264</v>
      </c>
      <c r="J85" s="148">
        <v>27.333406531139637</v>
      </c>
    </row>
    <row r="86" spans="1:10" x14ac:dyDescent="0.25">
      <c r="A86" s="15" t="s">
        <v>33</v>
      </c>
      <c r="B86" s="43">
        <v>677</v>
      </c>
      <c r="C86" s="43">
        <v>684</v>
      </c>
      <c r="D86" s="43">
        <v>565</v>
      </c>
      <c r="E86" s="43">
        <v>544</v>
      </c>
      <c r="F86" s="11">
        <v>572.23764425177978</v>
      </c>
      <c r="G86" s="11">
        <v>599.44877737985144</v>
      </c>
      <c r="H86" s="11">
        <v>628.53675032484318</v>
      </c>
      <c r="I86" s="11">
        <v>669.73207794880079</v>
      </c>
      <c r="J86" s="11">
        <v>714.0957056183604</v>
      </c>
    </row>
    <row r="87" spans="1:10" x14ac:dyDescent="0.25">
      <c r="A87" s="15" t="s">
        <v>51</v>
      </c>
      <c r="B87" s="43">
        <v>84</v>
      </c>
      <c r="C87" s="43">
        <v>104</v>
      </c>
      <c r="D87" s="43">
        <v>130</v>
      </c>
      <c r="E87" s="43">
        <v>161</v>
      </c>
      <c r="F87" s="11">
        <v>176.29579451830432</v>
      </c>
      <c r="G87" s="11">
        <v>197.45128986050088</v>
      </c>
      <c r="H87" s="11">
        <v>221.14544464376098</v>
      </c>
      <c r="I87" s="11">
        <v>247.68289800101235</v>
      </c>
      <c r="J87" s="11">
        <v>277.40484576113386</v>
      </c>
    </row>
    <row r="88" spans="1:10" x14ac:dyDescent="0.25">
      <c r="A88" s="15" t="s">
        <v>34</v>
      </c>
      <c r="B88" s="43">
        <v>7</v>
      </c>
      <c r="C88" s="43">
        <v>6</v>
      </c>
      <c r="D88" s="43">
        <v>2</v>
      </c>
      <c r="E88" s="43">
        <v>13</v>
      </c>
      <c r="F88" s="149">
        <v>0</v>
      </c>
      <c r="G88" s="39">
        <v>0</v>
      </c>
      <c r="H88" s="39">
        <v>0</v>
      </c>
      <c r="I88" s="39">
        <v>0</v>
      </c>
      <c r="J88" s="39">
        <v>0</v>
      </c>
    </row>
    <row r="89" spans="1:10" x14ac:dyDescent="0.25">
      <c r="A89" s="15" t="s">
        <v>35</v>
      </c>
      <c r="B89" s="43">
        <v>26</v>
      </c>
      <c r="C89" s="43">
        <v>-65</v>
      </c>
      <c r="D89" s="43">
        <v>-10</v>
      </c>
      <c r="E89" s="43">
        <v>8</v>
      </c>
      <c r="F89" s="149">
        <v>0</v>
      </c>
      <c r="G89" s="39">
        <v>0</v>
      </c>
      <c r="H89" s="39">
        <v>0</v>
      </c>
      <c r="I89" s="39">
        <v>0</v>
      </c>
      <c r="J89" s="39">
        <v>0</v>
      </c>
    </row>
    <row r="90" spans="1:10" x14ac:dyDescent="0.25">
      <c r="A90" s="16" t="s">
        <v>36</v>
      </c>
      <c r="B90" s="42">
        <v>-7</v>
      </c>
      <c r="C90" s="42">
        <v>54</v>
      </c>
      <c r="D90" s="42">
        <v>-53</v>
      </c>
      <c r="E90" s="42">
        <v>-173</v>
      </c>
      <c r="F90" s="12">
        <v>-208.99447985015956</v>
      </c>
      <c r="G90" s="12">
        <v>-138.34181468789649</v>
      </c>
      <c r="H90" s="12">
        <v>-123.02905653287638</v>
      </c>
      <c r="I90" s="12">
        <v>-149.29217694356237</v>
      </c>
      <c r="J90" s="12">
        <v>-164.24957667921871</v>
      </c>
    </row>
    <row r="91" spans="1:10" x14ac:dyDescent="0.25">
      <c r="A91" s="2" t="s">
        <v>27</v>
      </c>
      <c r="B91" s="43">
        <v>86</v>
      </c>
      <c r="C91" s="43">
        <v>512</v>
      </c>
      <c r="D91" s="43">
        <v>750</v>
      </c>
      <c r="E91" s="43">
        <v>884</v>
      </c>
      <c r="F91" s="28">
        <v>1047.7610749954069</v>
      </c>
      <c r="G91" s="28">
        <v>1308.8056525942413</v>
      </c>
      <c r="H91" s="28">
        <v>1569.0501961039699</v>
      </c>
      <c r="I91" s="28">
        <v>1858.0577596544431</v>
      </c>
      <c r="J91" s="28">
        <v>2217.0917166120689</v>
      </c>
    </row>
    <row r="92" spans="1:10" x14ac:dyDescent="0.25">
      <c r="B92" s="11"/>
      <c r="C92" s="11"/>
      <c r="D92" s="11"/>
      <c r="E92" s="11"/>
      <c r="F92" s="11"/>
      <c r="G92" s="11"/>
      <c r="H92" s="11"/>
      <c r="I92" s="11"/>
      <c r="J92" s="11"/>
    </row>
    <row r="93" spans="1:10" x14ac:dyDescent="0.25">
      <c r="A93" s="2" t="s">
        <v>29</v>
      </c>
      <c r="B93" s="11"/>
      <c r="C93" s="11"/>
      <c r="D93" s="11"/>
      <c r="E93" s="11"/>
      <c r="F93" s="11"/>
      <c r="G93" s="11"/>
      <c r="H93" s="11"/>
      <c r="I93" s="11"/>
      <c r="J93" s="11"/>
    </row>
    <row r="94" spans="1:10" x14ac:dyDescent="0.25">
      <c r="A94" s="3" t="s">
        <v>52</v>
      </c>
      <c r="B94" s="11"/>
      <c r="C94" s="11"/>
      <c r="D94" s="11"/>
      <c r="E94" s="11"/>
      <c r="F94" s="11"/>
      <c r="G94" s="11"/>
      <c r="H94" s="11"/>
      <c r="I94" s="11"/>
      <c r="J94" s="11"/>
    </row>
    <row r="95" spans="1:10" x14ac:dyDescent="0.25">
      <c r="A95" s="15" t="s">
        <v>53</v>
      </c>
      <c r="B95" s="43">
        <v>-9</v>
      </c>
      <c r="C95" s="43">
        <v>-15</v>
      </c>
      <c r="D95" s="43">
        <v>-12</v>
      </c>
      <c r="E95" s="43">
        <v>-12</v>
      </c>
      <c r="F95" s="11">
        <v>-12.363871255038806</v>
      </c>
      <c r="G95" s="11">
        <v>-12.823564333414502</v>
      </c>
      <c r="H95" s="11">
        <v>-13.312694875977224</v>
      </c>
      <c r="I95" s="11">
        <v>-14.044782864356648</v>
      </c>
      <c r="J95" s="11">
        <v>-14.82685280775036</v>
      </c>
    </row>
    <row r="96" spans="1:10" x14ac:dyDescent="0.25">
      <c r="A96" s="15" t="s">
        <v>54</v>
      </c>
      <c r="B96" s="43">
        <v>-12</v>
      </c>
      <c r="C96" s="43">
        <v>-8</v>
      </c>
      <c r="D96" s="43">
        <v>-8</v>
      </c>
      <c r="E96" s="43">
        <v>-9</v>
      </c>
      <c r="F96" s="11">
        <v>-9.5951278851845547</v>
      </c>
      <c r="G96" s="11">
        <v>-9.9518781120321034</v>
      </c>
      <c r="H96" s="11">
        <v>-10.33147362961939</v>
      </c>
      <c r="I96" s="11">
        <v>-10.899619134114618</v>
      </c>
      <c r="J96" s="11">
        <v>-11.506553723389276</v>
      </c>
    </row>
    <row r="97" spans="1:10" x14ac:dyDescent="0.25">
      <c r="A97" s="3" t="s">
        <v>299</v>
      </c>
      <c r="B97" s="43">
        <v>-103</v>
      </c>
      <c r="C97" s="43">
        <v>487</v>
      </c>
      <c r="D97" s="43">
        <v>-238</v>
      </c>
      <c r="E97" s="43">
        <v>348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</row>
    <row r="98" spans="1:10" x14ac:dyDescent="0.25">
      <c r="A98" s="6" t="s">
        <v>298</v>
      </c>
      <c r="B98" s="42">
        <v>-6</v>
      </c>
      <c r="C98" s="42">
        <v>-23</v>
      </c>
      <c r="D98" s="42">
        <v>-56</v>
      </c>
      <c r="E98" s="42">
        <v>-56</v>
      </c>
      <c r="F98" s="150">
        <v>-56</v>
      </c>
      <c r="G98" s="12">
        <v>-56</v>
      </c>
      <c r="H98" s="12">
        <v>-56</v>
      </c>
      <c r="I98" s="12">
        <v>-56</v>
      </c>
      <c r="J98" s="12">
        <v>-56</v>
      </c>
    </row>
    <row r="99" spans="1:10" x14ac:dyDescent="0.25">
      <c r="A99" s="2" t="s">
        <v>29</v>
      </c>
      <c r="B99" s="43">
        <v>-130</v>
      </c>
      <c r="C99" s="43">
        <v>441</v>
      </c>
      <c r="D99" s="43">
        <v>-314</v>
      </c>
      <c r="E99" s="43">
        <v>271</v>
      </c>
      <c r="F99" s="11">
        <v>-77.958999140223369</v>
      </c>
      <c r="G99" s="11">
        <v>-78.7754424454466</v>
      </c>
      <c r="H99" s="11">
        <v>-79.64416850559661</v>
      </c>
      <c r="I99" s="11">
        <v>-80.944401998471264</v>
      </c>
      <c r="J99" s="11">
        <v>-82.333406531139644</v>
      </c>
    </row>
    <row r="100" spans="1:10" x14ac:dyDescent="0.25">
      <c r="A100" s="2"/>
      <c r="B100" s="11"/>
      <c r="C100" s="11"/>
      <c r="D100" s="11"/>
      <c r="E100" s="11"/>
      <c r="F100" s="11"/>
      <c r="G100" s="11"/>
      <c r="H100" s="11"/>
      <c r="I100" s="11"/>
      <c r="J100" s="11"/>
    </row>
    <row r="101" spans="1:10" x14ac:dyDescent="0.25">
      <c r="A101" s="2" t="s">
        <v>30</v>
      </c>
      <c r="B101" s="11"/>
      <c r="C101" s="11"/>
      <c r="D101" s="20"/>
      <c r="E101" s="20"/>
      <c r="F101" s="11"/>
      <c r="G101" s="11"/>
      <c r="H101" s="11"/>
      <c r="I101" s="11"/>
      <c r="J101" s="11"/>
    </row>
    <row r="102" spans="1:10" x14ac:dyDescent="0.25">
      <c r="A102" s="3" t="s">
        <v>304</v>
      </c>
      <c r="B102" s="43">
        <v>0</v>
      </c>
      <c r="C102" s="43">
        <v>-944</v>
      </c>
      <c r="D102" s="43">
        <v>-280</v>
      </c>
      <c r="E102" s="43">
        <v>-508</v>
      </c>
      <c r="F102" s="11">
        <v>-350</v>
      </c>
      <c r="G102" s="11">
        <v>0</v>
      </c>
      <c r="H102" s="11">
        <v>0</v>
      </c>
      <c r="I102" s="11">
        <v>0</v>
      </c>
      <c r="J102" s="11">
        <v>0</v>
      </c>
    </row>
    <row r="103" spans="1:10" x14ac:dyDescent="0.25">
      <c r="A103" s="3" t="s">
        <v>308</v>
      </c>
      <c r="B103" s="43">
        <v>0</v>
      </c>
      <c r="C103" s="43">
        <v>0</v>
      </c>
      <c r="D103" s="43">
        <v>-148</v>
      </c>
      <c r="E103" s="43">
        <v>-192</v>
      </c>
      <c r="F103" s="11">
        <v>-175.93105293862632</v>
      </c>
      <c r="G103" s="11">
        <v>-184.29695362859982</v>
      </c>
      <c r="H103" s="11">
        <v>-193.23987753349942</v>
      </c>
      <c r="I103" s="11">
        <v>-205.90513546931899</v>
      </c>
      <c r="J103" s="11">
        <v>-219.54446836970519</v>
      </c>
    </row>
    <row r="104" spans="1:10" x14ac:dyDescent="0.25">
      <c r="A104" s="3" t="s">
        <v>55</v>
      </c>
      <c r="B104" s="43">
        <v>48</v>
      </c>
      <c r="C104" s="43">
        <v>61</v>
      </c>
      <c r="D104" s="43">
        <v>69</v>
      </c>
      <c r="E104" s="43">
        <v>53</v>
      </c>
      <c r="F104" s="11">
        <v>48</v>
      </c>
      <c r="G104" s="11">
        <v>61</v>
      </c>
      <c r="H104" s="11">
        <v>69</v>
      </c>
      <c r="I104" s="11">
        <v>53</v>
      </c>
      <c r="J104" s="11">
        <v>45.4</v>
      </c>
    </row>
    <row r="105" spans="1:10" x14ac:dyDescent="0.25">
      <c r="A105" s="3" t="s">
        <v>96</v>
      </c>
      <c r="B105" s="11"/>
      <c r="C105" s="11"/>
      <c r="D105" s="11"/>
      <c r="E105" s="28">
        <v>-73</v>
      </c>
      <c r="F105" s="28">
        <v>-920.69</v>
      </c>
      <c r="G105" s="28">
        <v>-1230.9142794367526</v>
      </c>
      <c r="H105" s="28">
        <v>-1365.166150064874</v>
      </c>
      <c r="I105" s="28">
        <v>-1624.2082221866528</v>
      </c>
      <c r="J105" s="28">
        <v>-1960.6138417112243</v>
      </c>
    </row>
    <row r="106" spans="1:10" x14ac:dyDescent="0.25">
      <c r="A106" s="99" t="s">
        <v>30</v>
      </c>
      <c r="B106" s="126">
        <v>48</v>
      </c>
      <c r="C106" s="126">
        <v>-883</v>
      </c>
      <c r="D106" s="126">
        <v>-359</v>
      </c>
      <c r="E106" s="126">
        <v>-720</v>
      </c>
      <c r="F106" s="127">
        <v>-1398.6210529386262</v>
      </c>
      <c r="G106" s="127">
        <v>-1354.2112330653524</v>
      </c>
      <c r="H106" s="127">
        <v>-1489.4060275983734</v>
      </c>
      <c r="I106" s="127">
        <v>-1777.1133576559719</v>
      </c>
      <c r="J106" s="127">
        <v>-2134.7583100809293</v>
      </c>
    </row>
    <row r="107" spans="1:10" x14ac:dyDescent="0.25">
      <c r="B107" s="43"/>
      <c r="C107" s="43"/>
      <c r="D107" s="43"/>
      <c r="E107" s="43"/>
      <c r="F107" s="11"/>
      <c r="G107" s="11"/>
      <c r="H107" s="11"/>
      <c r="I107" s="11"/>
      <c r="J107" s="11"/>
    </row>
    <row r="108" spans="1:10" x14ac:dyDescent="0.25">
      <c r="A108" t="s">
        <v>31</v>
      </c>
      <c r="B108" s="43">
        <v>-6</v>
      </c>
      <c r="C108" s="43">
        <v>1</v>
      </c>
      <c r="D108" s="43">
        <v>-4</v>
      </c>
      <c r="E108" s="43">
        <v>14</v>
      </c>
      <c r="F108" s="24">
        <v>0</v>
      </c>
      <c r="G108" s="24">
        <v>0</v>
      </c>
      <c r="H108" s="24">
        <v>0</v>
      </c>
      <c r="I108" s="24">
        <v>0</v>
      </c>
      <c r="J108" s="24">
        <v>0</v>
      </c>
    </row>
    <row r="109" spans="1:10" x14ac:dyDescent="0.25">
      <c r="B109" s="43"/>
      <c r="C109" s="43"/>
      <c r="D109" s="43"/>
      <c r="E109" s="43"/>
      <c r="F109" s="11"/>
      <c r="G109" s="11"/>
      <c r="H109" s="11"/>
      <c r="I109" s="11"/>
      <c r="J109" s="11"/>
    </row>
    <row r="110" spans="1:10" x14ac:dyDescent="0.25">
      <c r="A110" s="2" t="s">
        <v>32</v>
      </c>
      <c r="B110" s="47">
        <v>-2</v>
      </c>
      <c r="C110" s="47">
        <v>71</v>
      </c>
      <c r="D110" s="47">
        <v>73</v>
      </c>
      <c r="E110" s="47">
        <v>449</v>
      </c>
      <c r="F110" s="47">
        <v>-428.81897708344263</v>
      </c>
      <c r="G110" s="47">
        <v>-124.18102291655759</v>
      </c>
      <c r="H110" s="47">
        <v>0</v>
      </c>
      <c r="I110" s="47">
        <v>0</v>
      </c>
      <c r="J110" s="47">
        <v>0</v>
      </c>
    </row>
    <row r="111" spans="1:10" x14ac:dyDescent="0.25">
      <c r="B111" s="43"/>
      <c r="C111" s="43"/>
      <c r="D111" s="43"/>
      <c r="E111" s="43"/>
      <c r="F111" s="11"/>
      <c r="G111" s="11"/>
      <c r="H111" s="11"/>
      <c r="I111" s="11"/>
      <c r="J111" s="11"/>
    </row>
    <row r="112" spans="1:10" x14ac:dyDescent="0.25">
      <c r="A112" t="s">
        <v>38</v>
      </c>
      <c r="B112" s="43">
        <v>273</v>
      </c>
      <c r="C112" s="43">
        <v>271</v>
      </c>
      <c r="D112" s="43">
        <v>342</v>
      </c>
      <c r="E112" s="43">
        <v>415</v>
      </c>
      <c r="F112" s="11">
        <v>864</v>
      </c>
      <c r="G112" s="11">
        <v>435.18102291655737</v>
      </c>
      <c r="H112" s="11">
        <v>310.99999999999977</v>
      </c>
      <c r="I112" s="11">
        <v>310.99999999999977</v>
      </c>
      <c r="J112" s="11">
        <v>310.99999999999977</v>
      </c>
    </row>
    <row r="113" spans="1:10" x14ac:dyDescent="0.25">
      <c r="A113" t="s">
        <v>37</v>
      </c>
      <c r="B113" s="43">
        <v>271</v>
      </c>
      <c r="C113" s="43">
        <v>342</v>
      </c>
      <c r="D113" s="43">
        <v>415</v>
      </c>
      <c r="E113" s="43">
        <v>864</v>
      </c>
      <c r="F113" s="11">
        <v>435.18102291655737</v>
      </c>
      <c r="G113" s="11">
        <v>310.99999999999977</v>
      </c>
      <c r="H113" s="11">
        <v>310.99999999999977</v>
      </c>
      <c r="I113" s="11">
        <v>310.99999999999977</v>
      </c>
      <c r="J113" s="11">
        <v>310.99999999999977</v>
      </c>
    </row>
    <row r="114" spans="1:10" x14ac:dyDescent="0.25">
      <c r="B114" s="43"/>
      <c r="C114" s="43"/>
      <c r="D114" s="43"/>
      <c r="E114" s="43"/>
      <c r="F114" s="11"/>
      <c r="G114" s="11"/>
      <c r="H114" s="11"/>
      <c r="I114" s="11"/>
      <c r="J114" s="11"/>
    </row>
    <row r="115" spans="1:10" x14ac:dyDescent="0.25">
      <c r="A115" t="s">
        <v>334</v>
      </c>
      <c r="F115" s="4">
        <v>2553</v>
      </c>
      <c r="G115" s="4">
        <v>2124.1810229165576</v>
      </c>
      <c r="H115" s="4">
        <v>2000</v>
      </c>
      <c r="I115" s="4">
        <v>2000</v>
      </c>
      <c r="J115" s="4">
        <v>2000</v>
      </c>
    </row>
    <row r="116" spans="1:10" x14ac:dyDescent="0.25">
      <c r="A116" t="s">
        <v>335</v>
      </c>
      <c r="C116" s="48">
        <v>2202</v>
      </c>
      <c r="D116" s="48">
        <v>2523</v>
      </c>
      <c r="E116" s="48">
        <v>2553</v>
      </c>
      <c r="F116" s="4">
        <v>2124.1810229165576</v>
      </c>
      <c r="G116" s="4">
        <v>2000</v>
      </c>
      <c r="H116" s="4">
        <v>2000</v>
      </c>
      <c r="I116" s="4">
        <v>2000</v>
      </c>
      <c r="J116" s="4">
        <v>2000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1267-4DF1-4844-BB93-46E836635F0E}">
  <sheetPr>
    <tabColor theme="5" tint="0.39997558519241921"/>
  </sheetPr>
  <dimension ref="A1:K34"/>
  <sheetViews>
    <sheetView workbookViewId="0">
      <selection activeCell="E3" sqref="E3"/>
    </sheetView>
  </sheetViews>
  <sheetFormatPr defaultRowHeight="15" x14ac:dyDescent="0.25"/>
  <cols>
    <col min="1" max="1" width="20.42578125" bestFit="1" customWidth="1"/>
    <col min="2" max="2" width="20.42578125" customWidth="1"/>
  </cols>
  <sheetData>
    <row r="1" spans="1:11" x14ac:dyDescent="0.25">
      <c r="A1" t="s">
        <v>521</v>
      </c>
    </row>
    <row r="2" spans="1:11" x14ac:dyDescent="0.25">
      <c r="A2" s="282" t="s">
        <v>523</v>
      </c>
      <c r="B2" s="283" t="s">
        <v>524</v>
      </c>
      <c r="C2" s="129">
        <f>'Scenario Outputs'!F9</f>
        <v>44957</v>
      </c>
      <c r="D2" s="129">
        <f>'Scenario Outputs'!G9</f>
        <v>45322</v>
      </c>
      <c r="E2" s="129">
        <f>'Scenario Outputs'!H9</f>
        <v>45688</v>
      </c>
      <c r="F2" s="129">
        <f>'Scenario Outputs'!I9</f>
        <v>46053</v>
      </c>
      <c r="G2" s="130">
        <f>'Scenario Outputs'!J9</f>
        <v>46418</v>
      </c>
      <c r="H2" s="130">
        <f>'Scenario Outputs'!K9</f>
        <v>46783</v>
      </c>
      <c r="I2" s="130">
        <f>'Scenario Outputs'!L9</f>
        <v>47149</v>
      </c>
      <c r="J2" s="130">
        <f>'Scenario Outputs'!M9</f>
        <v>47514</v>
      </c>
      <c r="K2" s="130">
        <f>'Scenario Outputs'!N9</f>
        <v>47879</v>
      </c>
    </row>
    <row r="3" spans="1:11" x14ac:dyDescent="0.25">
      <c r="A3" t="str" cm="1">
        <f t="array" ref="A3">INDEX(_xlfn.TEXTSPLIT('Scenario Outputs'!B11,":"),,1)</f>
        <v>Revenue</v>
      </c>
      <c r="B3" s="96" t="s">
        <v>522</v>
      </c>
      <c r="C3" s="11" cm="1">
        <f t="array" ref="C3">MMULT(Evaluation!$F$17:$H$17,'Consolidated Output'!C4:C6)</f>
        <v>1858</v>
      </c>
      <c r="D3" s="11" cm="1">
        <f t="array" ref="D3">MMULT(Evaluation!$F$17:$H$17,'Consolidated Output'!D4:D6)</f>
        <v>2263</v>
      </c>
      <c r="E3" s="11" cm="1">
        <f t="array" ref="E3">MMULT(Evaluation!$F$17:$H$17,'Consolidated Output'!E4:E6)</f>
        <v>2610</v>
      </c>
      <c r="F3" s="11" cm="1">
        <f t="array" ref="F3">MMULT(Evaluation!$F$17:$H$17,'Consolidated Output'!F4:F6)</f>
        <v>2919</v>
      </c>
      <c r="G3" s="11" cm="1">
        <f t="array" ref="G3">MMULT(Evaluation!$F$17:$H$17,'Consolidated Output'!G4:G6)</f>
        <v>3199.5830125000002</v>
      </c>
      <c r="H3" s="11" cm="1">
        <f t="array" ref="H3">MMULT(Evaluation!$F$17:$H$17,'Consolidated Output'!H4:H6)</f>
        <v>3463.0678680300002</v>
      </c>
      <c r="I3" s="11" cm="1">
        <f t="array" ref="I3">MMULT(Evaluation!$F$17:$H$17,'Consolidated Output'!I4:I6)</f>
        <v>3752.0558043588753</v>
      </c>
      <c r="J3" s="11" cm="1">
        <f t="array" ref="J3">MMULT(Evaluation!$F$17:$H$17,'Consolidated Output'!J4:J6)</f>
        <v>4147.3708779488607</v>
      </c>
      <c r="K3" s="11" cm="1">
        <f t="array" ref="K3">MMULT(Evaluation!$F$17:$H$17,'Consolidated Output'!K4:K6)</f>
        <v>4585.3329018133591</v>
      </c>
    </row>
    <row r="4" spans="1:11" x14ac:dyDescent="0.25">
      <c r="A4" t="str" cm="1">
        <f t="array" ref="A4">INDEX(_xlfn.TEXTSPLIT('Scenario Outputs'!B11,":"),,1)</f>
        <v>Revenue</v>
      </c>
      <c r="B4" s="96" t="str" cm="1">
        <f t="array" ref="B4">INDEX(_xlfn.TEXTSPLIT('Scenario Outputs'!B12,":"),,1)</f>
        <v>Base</v>
      </c>
      <c r="C4" s="11">
        <f>'Scenario Outputs'!F12</f>
        <v>1858</v>
      </c>
      <c r="D4" s="11">
        <f>'Scenario Outputs'!G12</f>
        <v>2263</v>
      </c>
      <c r="E4" s="11">
        <f>'Scenario Outputs'!H12</f>
        <v>2610</v>
      </c>
      <c r="F4" s="11">
        <f>'Scenario Outputs'!I12</f>
        <v>2919</v>
      </c>
      <c r="G4" s="11">
        <f>'Scenario Outputs'!J12</f>
        <v>3172.6624999999999</v>
      </c>
      <c r="H4" s="11">
        <f>'Scenario Outputs'!K12</f>
        <v>3418.7830875000004</v>
      </c>
      <c r="I4" s="11">
        <f>'Scenario Outputs'!L12</f>
        <v>3686.9229375000009</v>
      </c>
      <c r="J4" s="11">
        <f>'Scenario Outputs'!M12</f>
        <v>4055.6152312500012</v>
      </c>
      <c r="K4" s="11">
        <f>'Scenario Outputs'!N12</f>
        <v>4461.1767543750011</v>
      </c>
    </row>
    <row r="5" spans="1:11" x14ac:dyDescent="0.25">
      <c r="A5" t="str" cm="1">
        <f t="array" ref="A5">INDEX(_xlfn.TEXTSPLIT('Scenario Outputs'!B11,":"),,1)</f>
        <v>Revenue</v>
      </c>
      <c r="B5" s="96" t="str" cm="1">
        <f t="array" ref="B5">INDEX(_xlfn.TEXTSPLIT('Scenario Outputs'!B13,":"),,1)</f>
        <v>Pessimistic</v>
      </c>
      <c r="C5" s="11">
        <f>'Scenario Outputs'!F13</f>
        <v>1858</v>
      </c>
      <c r="D5" s="11">
        <f>'Scenario Outputs'!G13</f>
        <v>2263</v>
      </c>
      <c r="E5" s="11">
        <f>'Scenario Outputs'!H13</f>
        <v>2610</v>
      </c>
      <c r="F5" s="11">
        <f>'Scenario Outputs'!I13</f>
        <v>2919</v>
      </c>
      <c r="G5" s="11">
        <f>'Scenario Outputs'!J13</f>
        <v>3204.0749999999998</v>
      </c>
      <c r="H5" s="11">
        <f>'Scenario Outputs'!K13</f>
        <v>3374.1635062499995</v>
      </c>
      <c r="I5" s="11">
        <f>'Scenario Outputs'!L13</f>
        <v>3556.1036953124999</v>
      </c>
      <c r="J5" s="11">
        <f>'Scenario Outputs'!M13</f>
        <v>3822.8114724609372</v>
      </c>
      <c r="K5" s="11">
        <f>'Scenario Outputs'!N13</f>
        <v>4109.5223328955071</v>
      </c>
    </row>
    <row r="6" spans="1:11" x14ac:dyDescent="0.25">
      <c r="A6" t="str" cm="1">
        <f t="array" ref="A6">INDEX(_xlfn.TEXTSPLIT('Scenario Outputs'!B11,":"),,1)</f>
        <v>Revenue</v>
      </c>
      <c r="B6" s="96" t="str" cm="1">
        <f t="array" ref="B6">INDEX(_xlfn.TEXTSPLIT('Scenario Outputs'!B14,":"),,1)</f>
        <v>Optimistic</v>
      </c>
      <c r="C6" s="11">
        <f>'Scenario Outputs'!F14</f>
        <v>1858</v>
      </c>
      <c r="D6" s="11">
        <f>'Scenario Outputs'!G14</f>
        <v>2263</v>
      </c>
      <c r="E6" s="11">
        <f>'Scenario Outputs'!H14</f>
        <v>2610</v>
      </c>
      <c r="F6" s="11">
        <f>'Scenario Outputs'!I14</f>
        <v>2919</v>
      </c>
      <c r="G6" s="11">
        <f>'Scenario Outputs'!J14</f>
        <v>3236.1157499999999</v>
      </c>
      <c r="H6" s="11">
        <f>'Scenario Outputs'!K14</f>
        <v>3564.4337095500009</v>
      </c>
      <c r="I6" s="11">
        <f>'Scenario Outputs'!L14</f>
        <v>3929.08223232</v>
      </c>
      <c r="J6" s="11">
        <f>'Scenario Outputs'!M14</f>
        <v>4417.5472612991998</v>
      </c>
      <c r="K6" s="11">
        <f>'Scenario Outputs'!N14</f>
        <v>4966.6176419758076</v>
      </c>
    </row>
    <row r="7" spans="1:11" x14ac:dyDescent="0.25">
      <c r="A7" t="str" cm="1">
        <f t="array" ref="A7">INDEX(_xlfn.TEXTSPLIT('Scenario Outputs'!B16,":"),,1)</f>
        <v>Revenue CAGR</v>
      </c>
      <c r="B7" s="96" t="s">
        <v>522</v>
      </c>
      <c r="C7" cm="1">
        <f t="array" ref="C7">MMULT(Evaluation!$F$17:$H$17,'Consolidated Output'!C8:C10)</f>
        <v>0</v>
      </c>
      <c r="D7" s="20" cm="1">
        <f t="array" ref="D7">MMULT(Evaluation!$F$17:$H$17,'Consolidated Output'!D8:D10)</f>
        <v>0.21797631862217437</v>
      </c>
      <c r="E7" s="20" cm="1">
        <f t="array" ref="E7">MMULT(Evaluation!$F$17:$H$17,'Consolidated Output'!E8:E10)</f>
        <v>0.15333627927529836</v>
      </c>
      <c r="F7" s="20" cm="1">
        <f t="array" ref="F7">MMULT(Evaluation!$F$17:$H$17,'Consolidated Output'!F8:F10)</f>
        <v>0.11839080459770113</v>
      </c>
      <c r="G7" s="20" cm="1">
        <f t="array" ref="G7">MMULT(Evaluation!$F$17:$H$17,'Consolidated Output'!G8:G10)</f>
        <v>9.6122991606714586E-2</v>
      </c>
      <c r="H7" s="20" cm="1">
        <f t="array" ref="H7">MMULT(Evaluation!$F$17:$H$17,'Consolidated Output'!H8:H10)</f>
        <v>8.2259478562957927E-2</v>
      </c>
      <c r="I7" s="20" cm="1">
        <f t="array" ref="I7">MMULT(Evaluation!$F$17:$H$17,'Consolidated Output'!I8:I10)</f>
        <v>8.3109604425782441E-2</v>
      </c>
      <c r="J7" s="20" cm="1">
        <f t="array" ref="J7">MMULT(Evaluation!$F$17:$H$17,'Consolidated Output'!J8:J10)</f>
        <v>0.10476213592233012</v>
      </c>
      <c r="K7" s="20" cm="1">
        <f t="array" ref="K7">MMULT(Evaluation!$F$17:$H$17,'Consolidated Output'!K8:K10)</f>
        <v>0.1047525641763692</v>
      </c>
    </row>
    <row r="8" spans="1:11" x14ac:dyDescent="0.25">
      <c r="A8" t="str" cm="1">
        <f t="array" ref="A8">INDEX(_xlfn.TEXTSPLIT('Scenario Outputs'!B16,":"),,1)</f>
        <v>Revenue CAGR</v>
      </c>
      <c r="B8" s="96" t="str" cm="1">
        <f t="array" ref="B8">INDEX(_xlfn.TEXTSPLIT('Scenario Outputs'!B17,":"),,1)</f>
        <v>Base</v>
      </c>
      <c r="C8">
        <f>'Scenario Outputs'!F17</f>
        <v>0</v>
      </c>
      <c r="D8" s="20">
        <f>'Scenario Outputs'!G17</f>
        <v>0.21797631862217437</v>
      </c>
      <c r="E8" s="20">
        <f>'Scenario Outputs'!H17</f>
        <v>0.15333627927529836</v>
      </c>
      <c r="F8" s="20">
        <f>'Scenario Outputs'!I17</f>
        <v>0.11839080459770113</v>
      </c>
      <c r="G8" s="20">
        <f>'Scenario Outputs'!J17</f>
        <v>8.6900479616306869E-2</v>
      </c>
      <c r="H8" s="20">
        <f>'Scenario Outputs'!K17</f>
        <v>7.7575407879029168E-2</v>
      </c>
      <c r="I8" s="20">
        <f>'Scenario Outputs'!L17</f>
        <v>7.8431372549019773E-2</v>
      </c>
      <c r="J8" s="20">
        <f>'Scenario Outputs'!M17</f>
        <v>0.10000000000000009</v>
      </c>
      <c r="K8" s="20">
        <f>'Scenario Outputs'!N17</f>
        <v>9.9999999999999867E-2</v>
      </c>
    </row>
    <row r="9" spans="1:11" x14ac:dyDescent="0.25">
      <c r="A9" t="str" cm="1">
        <f t="array" ref="A9">INDEX(_xlfn.TEXTSPLIT('Scenario Outputs'!B16,":"),,1)</f>
        <v>Revenue CAGR</v>
      </c>
      <c r="B9" s="96" t="str" cm="1">
        <f t="array" ref="B9">INDEX(_xlfn.TEXTSPLIT('Scenario Outputs'!B18,":"),,1)</f>
        <v>Pessimistic</v>
      </c>
      <c r="C9">
        <f>'Scenario Outputs'!F18</f>
        <v>0</v>
      </c>
      <c r="D9" s="20">
        <f>'Scenario Outputs'!G18</f>
        <v>0.21797631862217437</v>
      </c>
      <c r="E9" s="20">
        <f>'Scenario Outputs'!H18</f>
        <v>0.15333627927529836</v>
      </c>
      <c r="F9" s="20">
        <f>'Scenario Outputs'!I18</f>
        <v>0.11839080459770113</v>
      </c>
      <c r="G9" s="20">
        <f>'Scenario Outputs'!J18</f>
        <v>9.7661870503596981E-2</v>
      </c>
      <c r="H9" s="20">
        <f>'Scenario Outputs'!K18</f>
        <v>5.3085057699960192E-2</v>
      </c>
      <c r="I9" s="20">
        <f>'Scenario Outputs'!L18</f>
        <v>5.3921568627451011E-2</v>
      </c>
      <c r="J9" s="20">
        <f>'Scenario Outputs'!M18</f>
        <v>7.4999999999999956E-2</v>
      </c>
      <c r="K9" s="20">
        <f>'Scenario Outputs'!N18</f>
        <v>7.4999999999999956E-2</v>
      </c>
    </row>
    <row r="10" spans="1:11" x14ac:dyDescent="0.25">
      <c r="A10" t="str" cm="1">
        <f t="array" ref="A10">INDEX(_xlfn.TEXTSPLIT('Scenario Outputs'!B16,":"),,1)</f>
        <v>Revenue CAGR</v>
      </c>
      <c r="B10" s="96" t="str" cm="1">
        <f t="array" ref="B10">INDEX(_xlfn.TEXTSPLIT('Scenario Outputs'!B19,":"),,1)</f>
        <v>Optimistic</v>
      </c>
      <c r="C10">
        <f>'Scenario Outputs'!F19</f>
        <v>0</v>
      </c>
      <c r="D10" s="20">
        <f>'Scenario Outputs'!G19</f>
        <v>0.21797631862217437</v>
      </c>
      <c r="E10" s="20">
        <f>'Scenario Outputs'!H19</f>
        <v>0.15333627927529836</v>
      </c>
      <c r="F10" s="20">
        <f>'Scenario Outputs'!I19</f>
        <v>0.11839080459770113</v>
      </c>
      <c r="G10" s="20">
        <f>'Scenario Outputs'!J19</f>
        <v>0.10863848920863317</v>
      </c>
      <c r="H10" s="20">
        <f>'Scenario Outputs'!K19</f>
        <v>0.10145433133842663</v>
      </c>
      <c r="I10" s="20">
        <f>'Scenario Outputs'!L19</f>
        <v>0.10230195102044259</v>
      </c>
      <c r="J10" s="20">
        <f>'Scenario Outputs'!M19</f>
        <v>0.12432038834951453</v>
      </c>
      <c r="K10" s="20">
        <f>'Scenario Outputs'!N19</f>
        <v>0.12429304050391221</v>
      </c>
    </row>
    <row r="11" spans="1:11" x14ac:dyDescent="0.25">
      <c r="A11" t="str" cm="1">
        <f t="array" ref="A11">INDEX(_xlfn.TEXTSPLIT('Scenario Outputs'!B21,":"),,1)</f>
        <v>OpEx as % Revenue</v>
      </c>
      <c r="B11" s="96" t="s">
        <v>522</v>
      </c>
      <c r="C11" s="20" cm="1">
        <f t="array" ref="C11">MMULT(Evaluation!$F$17:$H$17,'Consolidated Output'!C12:C14)</f>
        <v>-1.1431646932185144</v>
      </c>
      <c r="D11" s="20" cm="1">
        <f t="array" ref="D11">MMULT(Evaluation!$F$17:$H$17,'Consolidated Output'!D12:D14)</f>
        <v>-0.97127706584180284</v>
      </c>
      <c r="E11" s="20" cm="1">
        <f t="array" ref="E11">MMULT(Evaluation!$F$17:$H$17,'Consolidated Output'!E12:E14)</f>
        <v>-0.79157088122605368</v>
      </c>
      <c r="F11" s="20" cm="1">
        <f t="array" ref="F11">MMULT(Evaluation!$F$17:$H$17,'Consolidated Output'!F12:F14)</f>
        <v>-0.72250770811921883</v>
      </c>
      <c r="G11" s="20" cm="1">
        <f t="array" ref="G11">MMULT(Evaluation!$F$17:$H$17,'Consolidated Output'!G12:G14)</f>
        <v>-0.6836174219760881</v>
      </c>
      <c r="H11" s="20" cm="1">
        <f t="array" ref="H11">MMULT(Evaluation!$F$17:$H$17,'Consolidated Output'!H12:H14)</f>
        <v>-0.64873288944636742</v>
      </c>
      <c r="I11" s="20" cm="1">
        <f t="array" ref="I11">MMULT(Evaluation!$F$17:$H$17,'Consolidated Output'!I12:I14)</f>
        <v>-0.61571527250874747</v>
      </c>
      <c r="J11" s="20" cm="1">
        <f t="array" ref="J11">MMULT(Evaluation!$F$17:$H$17,'Consolidated Output'!J12:J14)</f>
        <v>-0.58237244724698467</v>
      </c>
      <c r="K11" s="20" cm="1">
        <f t="array" ref="K11">MMULT(Evaluation!$F$17:$H$17,'Consolidated Output'!K12:K14)</f>
        <v>-0.55113384574350788</v>
      </c>
    </row>
    <row r="12" spans="1:11" x14ac:dyDescent="0.25">
      <c r="A12" t="str" cm="1">
        <f t="array" ref="A12">INDEX(_xlfn.TEXTSPLIT('Scenario Outputs'!B21,":"),,1)</f>
        <v>OpEx as % Revenue</v>
      </c>
      <c r="B12" s="96" t="str" cm="1">
        <f t="array" ref="B12">INDEX(_xlfn.TEXTSPLIT('Scenario Outputs'!B22,":"),,1)</f>
        <v>Base</v>
      </c>
      <c r="C12" s="20">
        <f>'Scenario Outputs'!F22</f>
        <v>-1.1431646932185144</v>
      </c>
      <c r="D12" s="20">
        <f>'Scenario Outputs'!G22</f>
        <v>-0.97127706584180296</v>
      </c>
      <c r="E12" s="20">
        <f>'Scenario Outputs'!H22</f>
        <v>-0.79157088122605368</v>
      </c>
      <c r="F12" s="20">
        <f>'Scenario Outputs'!I22</f>
        <v>-0.72250770811921894</v>
      </c>
      <c r="G12" s="20">
        <f>'Scenario Outputs'!J22</f>
        <v>-0.68175084844765499</v>
      </c>
      <c r="H12" s="20">
        <f>'Scenario Outputs'!K22</f>
        <v>-0.64490959906677559</v>
      </c>
      <c r="I12" s="20">
        <f>'Scenario Outputs'!L22</f>
        <v>-0.61000478338430775</v>
      </c>
      <c r="J12" s="20">
        <f>'Scenario Outputs'!M22</f>
        <v>-0.57466225798420789</v>
      </c>
      <c r="K12" s="20">
        <f>'Scenario Outputs'!N22</f>
        <v>-0.54152716461489259</v>
      </c>
    </row>
    <row r="13" spans="1:11" x14ac:dyDescent="0.25">
      <c r="A13" t="str" cm="1">
        <f t="array" ref="A13">INDEX(_xlfn.TEXTSPLIT('Scenario Outputs'!B21,":"),,1)</f>
        <v>OpEx as % Revenue</v>
      </c>
      <c r="B13" s="96" t="str" cm="1">
        <f t="array" ref="B13">INDEX(_xlfn.TEXTSPLIT('Scenario Outputs'!B23,":"),,1)</f>
        <v>Pessimistic</v>
      </c>
      <c r="C13" s="20">
        <f>'Scenario Outputs'!F23</f>
        <v>-1.1431646932185144</v>
      </c>
      <c r="D13" s="20">
        <f>'Scenario Outputs'!G23</f>
        <v>-0.97127706584180296</v>
      </c>
      <c r="E13" s="20">
        <f>'Scenario Outputs'!H23</f>
        <v>-0.79157088122605368</v>
      </c>
      <c r="F13" s="20">
        <f>'Scenario Outputs'!I23</f>
        <v>-0.72250770811921894</v>
      </c>
      <c r="G13" s="20">
        <f>'Scenario Outputs'!J23</f>
        <v>-0.701200879378717</v>
      </c>
      <c r="H13" s="20">
        <f>'Scenario Outputs'!K23</f>
        <v>-0.68385898313630511</v>
      </c>
      <c r="I13" s="20">
        <f>'Scenario Outputs'!L23</f>
        <v>-0.66689282256218341</v>
      </c>
      <c r="J13" s="20">
        <f>'Scenario Outputs'!M23</f>
        <v>-0.64902267476586273</v>
      </c>
      <c r="K13" s="20">
        <f>'Scenario Outputs'!N23</f>
        <v>-0.63164055108353889</v>
      </c>
    </row>
    <row r="14" spans="1:11" x14ac:dyDescent="0.25">
      <c r="A14" t="str" cm="1">
        <f t="array" ref="A14">INDEX(_xlfn.TEXTSPLIT('Scenario Outputs'!B21,":"),,1)</f>
        <v>OpEx as % Revenue</v>
      </c>
      <c r="B14" s="96" t="str" cm="1">
        <f t="array" ref="B14">INDEX(_xlfn.TEXTSPLIT('Scenario Outputs'!B24,":"),,1)</f>
        <v>Optimistic</v>
      </c>
      <c r="C14" s="20">
        <f>'Scenario Outputs'!F24</f>
        <v>-1.1431646932185144</v>
      </c>
      <c r="D14" s="20">
        <f>'Scenario Outputs'!G24</f>
        <v>-0.97127706584180296</v>
      </c>
      <c r="E14" s="20">
        <f>'Scenario Outputs'!H24</f>
        <v>-0.79157088122605368</v>
      </c>
      <c r="F14" s="20">
        <f>'Scenario Outputs'!I24</f>
        <v>-0.72250770811921894</v>
      </c>
      <c r="G14" s="20">
        <f>'Scenario Outputs'!J24</f>
        <v>-0.67874818812986604</v>
      </c>
      <c r="H14" s="20">
        <f>'Scenario Outputs'!K24</f>
        <v>-0.63914069269295404</v>
      </c>
      <c r="I14" s="20">
        <f>'Scenario Outputs'!L24</f>
        <v>-0.60193987837790308</v>
      </c>
      <c r="J14" s="20">
        <f>'Scenario Outputs'!M24</f>
        <v>-0.56482262011428952</v>
      </c>
      <c r="K14" s="20">
        <f>'Scenario Outputs'!N24</f>
        <v>-0.53035480221008802</v>
      </c>
    </row>
    <row r="15" spans="1:11" x14ac:dyDescent="0.25">
      <c r="A15" t="str" cm="1">
        <f t="array" ref="A15">INDEX(_xlfn.TEXTSPLIT('Scenario Outputs'!B26,":"),,1)</f>
        <v>EBITDA</v>
      </c>
      <c r="B15" s="96" t="s">
        <v>522</v>
      </c>
      <c r="C15" s="11" cm="1">
        <f t="array" ref="C15">MMULT(Evaluation!$F$17:$H$17,'Consolidated Output'!C16:C18)</f>
        <v>-698</v>
      </c>
      <c r="D15" s="11" cm="1">
        <f t="array" ref="D15">MMULT(Evaluation!$F$17:$H$17,'Consolidated Output'!D16:D18)</f>
        <v>-432</v>
      </c>
      <c r="E15" s="11" cm="1">
        <f t="array" ref="E15">MMULT(Evaluation!$F$17:$H$17,'Consolidated Output'!E16:E18)</f>
        <v>14</v>
      </c>
      <c r="F15" s="11" cm="1">
        <f t="array" ref="F15">MMULT(Evaluation!$F$17:$H$17,'Consolidated Output'!F16:F18)</f>
        <v>245</v>
      </c>
      <c r="G15" s="11" cm="1">
        <f t="array" ref="G15">MMULT(Evaluation!$F$17:$H$17,'Consolidated Output'!G16:G18)</f>
        <v>398.25902640333447</v>
      </c>
      <c r="H15" s="11" cm="1">
        <f t="array" ref="H15">MMULT(Evaluation!$F$17:$H$17,'Consolidated Output'!H16:H18)</f>
        <v>529.08018962820029</v>
      </c>
      <c r="I15" s="11" cm="1">
        <f t="array" ref="I15">MMULT(Evaluation!$F$17:$H$17,'Consolidated Output'!I16:I18)</f>
        <v>689.926345158608</v>
      </c>
      <c r="J15" s="11" cm="1">
        <f t="array" ref="J15">MMULT(Evaluation!$F$17:$H$17,'Consolidated Output'!J16:J18)</f>
        <v>888.76925542102413</v>
      </c>
      <c r="K15" s="11" cm="1">
        <f t="array" ref="K15">MMULT(Evaluation!$F$17:$H$17,'Consolidated Output'!K16:K18)</f>
        <v>1126.0481508149687</v>
      </c>
    </row>
    <row r="16" spans="1:11" x14ac:dyDescent="0.25">
      <c r="A16" t="str" cm="1">
        <f t="array" ref="A16">INDEX(_xlfn.TEXTSPLIT('Scenario Outputs'!B26,":"),,1)</f>
        <v>EBITDA</v>
      </c>
      <c r="B16" s="96" t="str" cm="1">
        <f t="array" ref="B16">INDEX(_xlfn.TEXTSPLIT('Scenario Outputs'!B27,":"),,1)</f>
        <v>Base</v>
      </c>
      <c r="C16" s="11">
        <f>'Scenario Outputs'!F27</f>
        <v>-698</v>
      </c>
      <c r="D16" s="11">
        <f>'Scenario Outputs'!G27</f>
        <v>-432</v>
      </c>
      <c r="E16" s="11">
        <f>'Scenario Outputs'!H27</f>
        <v>14</v>
      </c>
      <c r="F16" s="11">
        <f>'Scenario Outputs'!I27</f>
        <v>245</v>
      </c>
      <c r="G16" s="11">
        <f>'Scenario Outputs'!J27</f>
        <v>406.46976444037819</v>
      </c>
      <c r="H16" s="11">
        <f>'Scenario Outputs'!K27</f>
        <v>538.87604505489935</v>
      </c>
      <c r="I16" s="11">
        <f>'Scenario Outputs'!L27</f>
        <v>699.66328797169842</v>
      </c>
      <c r="J16" s="11">
        <f>'Scenario Outputs'!M27</f>
        <v>896.83234086821517</v>
      </c>
      <c r="K16" s="11">
        <f>'Scenario Outputs'!N27</f>
        <v>1129.4592771970001</v>
      </c>
    </row>
    <row r="17" spans="1:11" x14ac:dyDescent="0.25">
      <c r="A17" t="str" cm="1">
        <f t="array" ref="A17">INDEX(_xlfn.TEXTSPLIT('Scenario Outputs'!B26,":"),,1)</f>
        <v>EBITDA</v>
      </c>
      <c r="B17" s="96" t="str" cm="1">
        <f t="array" ref="B17">INDEX(_xlfn.TEXTSPLIT('Scenario Outputs'!B28,":"),,1)</f>
        <v>Pessimistic</v>
      </c>
      <c r="C17" s="11">
        <f>'Scenario Outputs'!F28</f>
        <v>-698</v>
      </c>
      <c r="D17" s="11">
        <f>'Scenario Outputs'!G28</f>
        <v>-432</v>
      </c>
      <c r="E17" s="11">
        <f>'Scenario Outputs'!H28</f>
        <v>14</v>
      </c>
      <c r="F17" s="11">
        <f>'Scenario Outputs'!I28</f>
        <v>245</v>
      </c>
      <c r="G17" s="11">
        <f>'Scenario Outputs'!J28</f>
        <v>313.17002371151011</v>
      </c>
      <c r="H17" s="11">
        <f>'Scenario Outputs'!K28</f>
        <v>365.87358748666071</v>
      </c>
      <c r="I17" s="11">
        <f>'Scenario Outputs'!L28</f>
        <v>437.03820659249368</v>
      </c>
      <c r="J17" s="11">
        <f>'Scenario Outputs'!M28</f>
        <v>523.17232506699486</v>
      </c>
      <c r="K17" s="11">
        <f>'Scenario Outputs'!N28</f>
        <v>629.82835031560614</v>
      </c>
    </row>
    <row r="18" spans="1:11" x14ac:dyDescent="0.25">
      <c r="A18" t="str" cm="1">
        <f t="array" ref="A18">INDEX(_xlfn.TEXTSPLIT('Scenario Outputs'!B26,":"),,1)</f>
        <v>EBITDA</v>
      </c>
      <c r="B18" s="96" t="str" cm="1">
        <f t="array" ref="B18">INDEX(_xlfn.TEXTSPLIT('Scenario Outputs'!B29,":"),,1)</f>
        <v>Optimistic</v>
      </c>
      <c r="C18" s="11">
        <f>'Scenario Outputs'!F29</f>
        <v>-698</v>
      </c>
      <c r="D18" s="11">
        <f>'Scenario Outputs'!G29</f>
        <v>-432</v>
      </c>
      <c r="E18" s="11">
        <f>'Scenario Outputs'!H29</f>
        <v>14</v>
      </c>
      <c r="F18" s="11">
        <f>'Scenario Outputs'!I29</f>
        <v>245</v>
      </c>
      <c r="G18" s="11">
        <f>'Scenario Outputs'!J29</f>
        <v>422.9961160754824</v>
      </c>
      <c r="H18" s="11">
        <f>'Scenario Outputs'!K29</f>
        <v>585.03179707928996</v>
      </c>
      <c r="I18" s="11">
        <f>'Scenario Outputs'!L29</f>
        <v>784.39705766824227</v>
      </c>
      <c r="J18" s="11">
        <f>'Scenario Outputs'!M29</f>
        <v>1033.9349606481924</v>
      </c>
      <c r="K18" s="11">
        <f>'Scenario Outputs'!N29</f>
        <v>1333.8407419117934</v>
      </c>
    </row>
    <row r="19" spans="1:11" x14ac:dyDescent="0.25">
      <c r="A19" t="str" cm="1">
        <f t="array" ref="A19">INDEX(_xlfn.TEXTSPLIT('Scenario Outputs'!B31,":"),,1)</f>
        <v>EBITDA Margin</v>
      </c>
      <c r="B19" s="96" t="s">
        <v>522</v>
      </c>
      <c r="C19" cm="1">
        <f t="array" ref="C19">MMULT(Evaluation!$F$17:$H$17,'Consolidated Output'!C20:C22)</f>
        <v>0</v>
      </c>
      <c r="D19" s="20" cm="1">
        <f t="array" ref="D19">MMULT(Evaluation!$F$17:$H$17,'Consolidated Output'!D20:D22)</f>
        <v>-0.38108882521489973</v>
      </c>
      <c r="E19" s="20" cm="1">
        <f t="array" ref="E19">MMULT(Evaluation!$F$17:$H$17,'Consolidated Output'!E20:E22)</f>
        <v>-1.0324074074074074</v>
      </c>
      <c r="F19" s="20" cm="1">
        <f t="array" ref="F19">MMULT(Evaluation!$F$17:$H$17,'Consolidated Output'!F20:F22)</f>
        <v>16.5</v>
      </c>
      <c r="G19" s="20" cm="1">
        <f t="array" ref="G19">MMULT(Evaluation!$F$17:$H$17,'Consolidated Output'!G20:G22)</f>
        <v>0.62554704654422222</v>
      </c>
      <c r="H19" s="20" cm="1">
        <f t="array" ref="H19">MMULT(Evaluation!$F$17:$H$17,'Consolidated Output'!H20:H22)</f>
        <v>0.32219036230352238</v>
      </c>
      <c r="I19" s="20" cm="1">
        <f t="array" ref="I19">MMULT(Evaluation!$F$17:$H$17,'Consolidated Output'!I20:I22)</f>
        <v>0.29763537822937974</v>
      </c>
      <c r="J19" s="20" cm="1">
        <f t="array" ref="J19">MMULT(Evaluation!$F$17:$H$17,'Consolidated Output'!J20:J22)</f>
        <v>0.281810175705694</v>
      </c>
      <c r="K19" s="20" cm="1">
        <f t="array" ref="K19">MMULT(Evaluation!$F$17:$H$17,'Consolidated Output'!K20:K22)</f>
        <v>0.26179514818350125</v>
      </c>
    </row>
    <row r="20" spans="1:11" x14ac:dyDescent="0.25">
      <c r="A20" t="str" cm="1">
        <f t="array" ref="A20">INDEX(_xlfn.TEXTSPLIT('Scenario Outputs'!B31,":"),,1)</f>
        <v>EBITDA Margin</v>
      </c>
      <c r="B20" s="96" t="str" cm="1">
        <f t="array" ref="B20">INDEX(_xlfn.TEXTSPLIT('Scenario Outputs'!B32,":"),,1)</f>
        <v>Base</v>
      </c>
      <c r="C20">
        <f>'Scenario Outputs'!F32</f>
        <v>0</v>
      </c>
      <c r="D20" s="20">
        <f>'Scenario Outputs'!G32</f>
        <v>-0.38108882521489973</v>
      </c>
      <c r="E20" s="20">
        <f>'Scenario Outputs'!H32</f>
        <v>-1.0324074074074074</v>
      </c>
      <c r="F20" s="20">
        <f>'Scenario Outputs'!I32</f>
        <v>16.5</v>
      </c>
      <c r="G20" s="20">
        <f>'Scenario Outputs'!J32</f>
        <v>0.65906026302195175</v>
      </c>
      <c r="H20" s="20">
        <f>'Scenario Outputs'!K32</f>
        <v>0.32574693666776477</v>
      </c>
      <c r="I20" s="20">
        <f>'Scenario Outputs'!L32</f>
        <v>0.29837519108948052</v>
      </c>
      <c r="J20" s="20">
        <f>'Scenario Outputs'!M32</f>
        <v>0.28180562891630845</v>
      </c>
      <c r="K20" s="20">
        <f>'Scenario Outputs'!N32</f>
        <v>0.25938731881990451</v>
      </c>
    </row>
    <row r="21" spans="1:11" x14ac:dyDescent="0.25">
      <c r="A21" t="str" cm="1">
        <f t="array" ref="A21">INDEX(_xlfn.TEXTSPLIT('Scenario Outputs'!B31,":"),,1)</f>
        <v>EBITDA Margin</v>
      </c>
      <c r="B21" s="96" t="str" cm="1">
        <f t="array" ref="B21">INDEX(_xlfn.TEXTSPLIT('Scenario Outputs'!B33,":"),,1)</f>
        <v>Pessimistic</v>
      </c>
      <c r="C21">
        <f>'Scenario Outputs'!F33</f>
        <v>0</v>
      </c>
      <c r="D21" s="20">
        <f>'Scenario Outputs'!G33</f>
        <v>-0.38108882521489973</v>
      </c>
      <c r="E21" s="20">
        <f>'Scenario Outputs'!H33</f>
        <v>-1.0324074074074074</v>
      </c>
      <c r="F21" s="20">
        <f>'Scenario Outputs'!I33</f>
        <v>16.5</v>
      </c>
      <c r="G21" s="20">
        <f>'Scenario Outputs'!J33</f>
        <v>0.27824499474085762</v>
      </c>
      <c r="H21" s="20">
        <f>'Scenario Outputs'!K33</f>
        <v>0.16829057631550559</v>
      </c>
      <c r="I21" s="20">
        <f>'Scenario Outputs'!L33</f>
        <v>0.19450603033329794</v>
      </c>
      <c r="J21" s="20">
        <f>'Scenario Outputs'!M33</f>
        <v>0.19708601484999</v>
      </c>
      <c r="K21" s="20">
        <f>'Scenario Outputs'!N33</f>
        <v>0.20386404276058268</v>
      </c>
    </row>
    <row r="22" spans="1:11" x14ac:dyDescent="0.25">
      <c r="A22" t="str" cm="1">
        <f t="array" ref="A22">INDEX(_xlfn.TEXTSPLIT('Scenario Outputs'!B31,":"),,1)</f>
        <v>EBITDA Margin</v>
      </c>
      <c r="B22" s="96" t="str" cm="1">
        <f t="array" ref="B22">INDEX(_xlfn.TEXTSPLIT('Scenario Outputs'!B34,":"),,1)</f>
        <v>Optimistic</v>
      </c>
      <c r="C22">
        <f>'Scenario Outputs'!F34</f>
        <v>0</v>
      </c>
      <c r="D22" s="20">
        <f>'Scenario Outputs'!G34</f>
        <v>-0.38108882521489973</v>
      </c>
      <c r="E22" s="20">
        <f>'Scenario Outputs'!H34</f>
        <v>-1.0324074074074074</v>
      </c>
      <c r="F22" s="20">
        <f>'Scenario Outputs'!I34</f>
        <v>16.5</v>
      </c>
      <c r="G22" s="20">
        <f>'Scenario Outputs'!J34</f>
        <v>0.72651475949176492</v>
      </c>
      <c r="H22" s="20">
        <f>'Scenario Outputs'!K34</f>
        <v>0.38306659292089762</v>
      </c>
      <c r="I22" s="20">
        <f>'Scenario Outputs'!L34</f>
        <v>0.34077679467041366</v>
      </c>
      <c r="J22" s="20">
        <f>'Scenario Outputs'!M34</f>
        <v>0.3181270257715465</v>
      </c>
      <c r="K22" s="20">
        <f>'Scenario Outputs'!N34</f>
        <v>0.29006252102703312</v>
      </c>
    </row>
    <row r="23" spans="1:11" x14ac:dyDescent="0.25">
      <c r="A23" t="str" cm="1">
        <f t="array" ref="A23">INDEX(_xlfn.TEXTSPLIT('Scenario Outputs'!B36,":"),,1)</f>
        <v>EPS</v>
      </c>
      <c r="B23" s="96" t="s">
        <v>522</v>
      </c>
      <c r="C23" s="187" cm="1">
        <f t="array" ref="C23">MMULT(Evaluation!$F$17:$H$17,'Consolidated Output'!C24:C26)</f>
        <v>-5.16</v>
      </c>
      <c r="D23" s="187" cm="1">
        <f t="array" ref="D23">MMULT(Evaluation!$F$17:$H$17,'Consolidated Output'!D24:D26)</f>
        <v>-2.17</v>
      </c>
      <c r="E23" s="187" cm="1">
        <f t="array" ref="E23">MMULT(Evaluation!$F$17:$H$17,'Consolidated Output'!E24:E26)</f>
        <v>0.16</v>
      </c>
      <c r="F23" s="281" cm="1">
        <f t="array" ref="F23">MMULT(Evaluation!$F$17:$H$17,'Consolidated Output'!F24:F26)</f>
        <v>1.33</v>
      </c>
      <c r="G23" s="187" cm="1">
        <f t="array" ref="G23">MMULT(Evaluation!$F$17:$H$17,'Consolidated Output'!G24:G26)</f>
        <v>2.426773723107488</v>
      </c>
      <c r="H23" s="187" cm="1">
        <f t="array" ref="H23">MMULT(Evaluation!$F$17:$H$17,'Consolidated Output'!H24:H26)</f>
        <v>3.069021348793183</v>
      </c>
      <c r="I23" s="187" cm="1">
        <f t="array" ref="I23">MMULT(Evaluation!$F$17:$H$17,'Consolidated Output'!I24:I26)</f>
        <v>3.8361598973149165</v>
      </c>
      <c r="J23" s="187" cm="1">
        <f t="array" ref="J23">MMULT(Evaluation!$F$17:$H$17,'Consolidated Output'!J24:J26)</f>
        <v>4.7932683694954044</v>
      </c>
      <c r="K23" s="187" cm="1">
        <f t="array" ref="K23">MMULT(Evaluation!$F$17:$H$17,'Consolidated Output'!K24:K26)</f>
        <v>5.831440432097228</v>
      </c>
    </row>
    <row r="24" spans="1:11" x14ac:dyDescent="0.25">
      <c r="A24" t="str" cm="1">
        <f t="array" ref="A24">INDEX(_xlfn.TEXTSPLIT('Scenario Outputs'!B36,":"),,1)</f>
        <v>EPS</v>
      </c>
      <c r="B24" s="96" t="str" cm="1">
        <f t="array" ref="B24">INDEX(_xlfn.TEXTSPLIT('Scenario Outputs'!B37,":"),,1)</f>
        <v>Base</v>
      </c>
      <c r="C24" s="187">
        <f>'Scenario Outputs'!F37</f>
        <v>-5.16</v>
      </c>
      <c r="D24" s="187">
        <f>'Scenario Outputs'!G37</f>
        <v>-2.17</v>
      </c>
      <c r="E24" s="187">
        <f>'Scenario Outputs'!H37</f>
        <v>0.16</v>
      </c>
      <c r="F24" s="281">
        <f>'Scenario Outputs'!I37</f>
        <v>1.33</v>
      </c>
      <c r="G24" s="187">
        <f>'Scenario Outputs'!J37</f>
        <v>2.4644125230992344</v>
      </c>
      <c r="H24" s="187">
        <f>'Scenario Outputs'!K37</f>
        <v>3.1184164979527811</v>
      </c>
      <c r="I24" s="187">
        <f>'Scenario Outputs'!L37</f>
        <v>3.8896629884120872</v>
      </c>
      <c r="J24" s="187">
        <f>'Scenario Outputs'!M37</f>
        <v>4.8388331657361219</v>
      </c>
      <c r="K24" s="187">
        <f>'Scenario Outputs'!N37</f>
        <v>5.853670817809852</v>
      </c>
    </row>
    <row r="25" spans="1:11" x14ac:dyDescent="0.25">
      <c r="A25" t="str" cm="1">
        <f t="array" ref="A25">INDEX(_xlfn.TEXTSPLIT('Scenario Outputs'!B36,":"),,1)</f>
        <v>EPS</v>
      </c>
      <c r="B25" s="96" t="str" cm="1">
        <f t="array" ref="B25">INDEX(_xlfn.TEXTSPLIT('Scenario Outputs'!B38,":"),,1)</f>
        <v>Pessimistic</v>
      </c>
      <c r="C25" s="187">
        <f>'Scenario Outputs'!F38</f>
        <v>-5.16</v>
      </c>
      <c r="D25" s="187">
        <f>'Scenario Outputs'!G38</f>
        <v>-2.17</v>
      </c>
      <c r="E25" s="187">
        <f>'Scenario Outputs'!H38</f>
        <v>0.16</v>
      </c>
      <c r="F25" s="281">
        <f>'Scenario Outputs'!I38</f>
        <v>1.33</v>
      </c>
      <c r="G25" s="187">
        <f>'Scenario Outputs'!J38</f>
        <v>1.917730057442778</v>
      </c>
      <c r="H25" s="187">
        <f>'Scenario Outputs'!K38</f>
        <v>2.1109066680587416</v>
      </c>
      <c r="I25" s="187">
        <f>'Scenario Outputs'!L38</f>
        <v>2.4200767537388232</v>
      </c>
      <c r="J25" s="187">
        <f>'Scenario Outputs'!M38</f>
        <v>2.8264313683796507</v>
      </c>
      <c r="K25" s="187">
        <f>'Scenario Outputs'!N38</f>
        <v>3.2697889326196621</v>
      </c>
    </row>
    <row r="26" spans="1:11" x14ac:dyDescent="0.25">
      <c r="A26" t="str" cm="1">
        <f t="array" ref="A26">INDEX(_xlfn.TEXTSPLIT('Scenario Outputs'!B36,":"),,1)</f>
        <v>EPS</v>
      </c>
      <c r="B26" s="96" t="str" cm="1">
        <f t="array" ref="B26">INDEX(_xlfn.TEXTSPLIT('Scenario Outputs'!B39,":"),,1)</f>
        <v>Optimistic</v>
      </c>
      <c r="C26" s="187">
        <f>'Scenario Outputs'!F39</f>
        <v>-5.16</v>
      </c>
      <c r="D26" s="187">
        <f>'Scenario Outputs'!G39</f>
        <v>-2.17</v>
      </c>
      <c r="E26" s="187">
        <f>'Scenario Outputs'!H39</f>
        <v>0.16</v>
      </c>
      <c r="F26" s="281">
        <f>'Scenario Outputs'!I39</f>
        <v>1.33</v>
      </c>
      <c r="G26" s="187">
        <f>'Scenario Outputs'!J39</f>
        <v>2.591165579832726</v>
      </c>
      <c r="H26" s="187">
        <f>'Scenario Outputs'!K39</f>
        <v>3.409077427451376</v>
      </c>
      <c r="I26" s="187">
        <f>'Scenario Outputs'!L39</f>
        <v>4.3666196858515693</v>
      </c>
      <c r="J26" s="187">
        <f>'Scenario Outputs'!M39</f>
        <v>5.5711059467725583</v>
      </c>
      <c r="K26" s="187">
        <f>'Scenario Outputs'!N39</f>
        <v>6.8975333808552923</v>
      </c>
    </row>
    <row r="27" spans="1:11" x14ac:dyDescent="0.25">
      <c r="A27" t="str" cm="1">
        <f t="array" ref="A27">INDEX(_xlfn.TEXTSPLIT('Scenario Outputs'!B41,":"),,1)</f>
        <v>FCF before Buybacks</v>
      </c>
      <c r="B27" s="96" t="s">
        <v>522</v>
      </c>
      <c r="C27" s="11" cm="1">
        <f t="array" ref="C27">MMULT(Evaluation!$F$17:$H$17,'Consolidated Output'!C28:C30)</f>
        <v>-2</v>
      </c>
      <c r="D27" s="11" cm="1">
        <f t="array" ref="D27">MMULT(Evaluation!$F$17:$H$17,'Consolidated Output'!D28:D30)</f>
        <v>71</v>
      </c>
      <c r="E27" s="11" cm="1">
        <f t="array" ref="E27">MMULT(Evaluation!$F$17:$H$17,'Consolidated Output'!E28:E30)</f>
        <v>73</v>
      </c>
      <c r="F27" s="11" cm="1">
        <f t="array" ref="F27">MMULT(Evaluation!$F$17:$H$17,'Consolidated Output'!F28:F30)</f>
        <v>522</v>
      </c>
      <c r="G27" s="11" cm="1">
        <f t="array" ref="G27">MMULT(Evaluation!$F$17:$H$17,'Consolidated Output'!G28:G30)</f>
        <v>446.71528076247336</v>
      </c>
      <c r="H27" s="11" cm="1">
        <f t="array" ref="H27">MMULT(Evaluation!$F$17:$H$17,'Consolidated Output'!H28:H30)</f>
        <v>1026.4636359860392</v>
      </c>
      <c r="I27" s="11" cm="1">
        <f t="array" ref="I27">MMULT(Evaluation!$F$17:$H$17,'Consolidated Output'!I28:I30)</f>
        <v>1239.5047723478251</v>
      </c>
      <c r="J27" s="11" cm="1">
        <f t="array" ref="J27">MMULT(Evaluation!$F$17:$H$17,'Consolidated Output'!J28:J30)</f>
        <v>1439.3119365601024</v>
      </c>
      <c r="K27" s="11" cm="1">
        <f t="array" ref="K27">MMULT(Evaluation!$F$17:$H$17,'Consolidated Output'!K28:K30)</f>
        <v>1703.6993501418422</v>
      </c>
    </row>
    <row r="28" spans="1:11" x14ac:dyDescent="0.25">
      <c r="A28" t="str" cm="1">
        <f t="array" ref="A28">INDEX(_xlfn.TEXTSPLIT('Scenario Outputs'!B41,":"),,1)</f>
        <v>FCF before Buybacks</v>
      </c>
      <c r="B28" s="96" t="str" cm="1">
        <f t="array" ref="B28">INDEX(_xlfn.TEXTSPLIT('Scenario Outputs'!B42,":"),,1)</f>
        <v>Base</v>
      </c>
      <c r="C28" s="11">
        <f>'Scenario Outputs'!F42</f>
        <v>-2</v>
      </c>
      <c r="D28" s="11">
        <f>'Scenario Outputs'!G42</f>
        <v>71</v>
      </c>
      <c r="E28" s="11">
        <f>'Scenario Outputs'!H42</f>
        <v>73</v>
      </c>
      <c r="F28" s="11">
        <f>'Scenario Outputs'!I42</f>
        <v>522</v>
      </c>
      <c r="G28" s="11">
        <f>'Scenario Outputs'!J42</f>
        <v>447.32309898523124</v>
      </c>
      <c r="H28" s="11">
        <f>'Scenario Outputs'!K42</f>
        <v>1024.5393993951534</v>
      </c>
      <c r="I28" s="11">
        <f>'Scenario Outputs'!L42</f>
        <v>1234.682279939519</v>
      </c>
      <c r="J28" s="11">
        <f>'Scenario Outputs'!M42</f>
        <v>1428.616523288603</v>
      </c>
      <c r="K28" s="11">
        <f>'Scenario Outputs'!N42</f>
        <v>1683.5364652388801</v>
      </c>
    </row>
    <row r="29" spans="1:11" x14ac:dyDescent="0.25">
      <c r="A29" t="str" cm="1">
        <f t="array" ref="A29">INDEX(_xlfn.TEXTSPLIT('Scenario Outputs'!B41,":"),,1)</f>
        <v>FCF before Buybacks</v>
      </c>
      <c r="B29" s="96" t="str" cm="1">
        <f t="array" ref="B29">INDEX(_xlfn.TEXTSPLIT('Scenario Outputs'!B43,":"),,1)</f>
        <v>Pessimistic</v>
      </c>
      <c r="C29" s="11">
        <f>'Scenario Outputs'!F43</f>
        <v>-2</v>
      </c>
      <c r="D29" s="11">
        <f>'Scenario Outputs'!G43</f>
        <v>71</v>
      </c>
      <c r="E29" s="11">
        <f>'Scenario Outputs'!H43</f>
        <v>73</v>
      </c>
      <c r="F29" s="11">
        <f>'Scenario Outputs'!I43</f>
        <v>522</v>
      </c>
      <c r="G29" s="11">
        <f>'Scenario Outputs'!J43</f>
        <v>339.32582166041766</v>
      </c>
      <c r="H29" s="11">
        <f>'Scenario Outputs'!K43</f>
        <v>845.58197670929576</v>
      </c>
      <c r="I29" s="11">
        <f>'Scenario Outputs'!L43</f>
        <v>962.36986570239708</v>
      </c>
      <c r="J29" s="11">
        <f>'Scenario Outputs'!M43</f>
        <v>1043.5386476698163</v>
      </c>
      <c r="K29" s="11">
        <f>'Scenario Outputs'!N43</f>
        <v>1171.441819489824</v>
      </c>
    </row>
    <row r="30" spans="1:11" x14ac:dyDescent="0.25">
      <c r="A30" t="str" cm="1">
        <f t="array" ref="A30">INDEX(_xlfn.TEXTSPLIT('Scenario Outputs'!B41,":"),,1)</f>
        <v>FCF before Buybacks</v>
      </c>
      <c r="B30" s="96" t="str" cm="1">
        <f t="array" ref="B30">INDEX(_xlfn.TEXTSPLIT('Scenario Outputs'!B44,":"),,1)</f>
        <v>Optimistic</v>
      </c>
      <c r="C30" s="11">
        <f>'Scenario Outputs'!F44</f>
        <v>-2</v>
      </c>
      <c r="D30" s="11">
        <f>'Scenario Outputs'!G44</f>
        <v>71</v>
      </c>
      <c r="E30" s="11">
        <f>'Scenario Outputs'!H44</f>
        <v>73</v>
      </c>
      <c r="F30" s="11">
        <f>'Scenario Outputs'!I44</f>
        <v>522</v>
      </c>
      <c r="G30" s="11">
        <f>'Scenario Outputs'!J44</f>
        <v>491.87102291655742</v>
      </c>
      <c r="H30" s="11">
        <f>'Scenario Outputs'!K44</f>
        <v>1106.733256520195</v>
      </c>
      <c r="I30" s="11">
        <f>'Scenario Outputs'!L44</f>
        <v>1365.166150064874</v>
      </c>
      <c r="J30" s="11">
        <f>'Scenario Outputs'!M44</f>
        <v>1624.2082221866528</v>
      </c>
      <c r="K30" s="11">
        <f>'Scenario Outputs'!N44</f>
        <v>1960.6138417112243</v>
      </c>
    </row>
    <row r="31" spans="1:11" x14ac:dyDescent="0.25">
      <c r="A31" t="str" cm="1">
        <f t="array" ref="A31">INDEX(_xlfn.TEXTSPLIT('Scenario Outputs'!B46,":"),,1)</f>
        <v>FCF Margin before Buybacks</v>
      </c>
      <c r="B31" s="96" t="s">
        <v>522</v>
      </c>
      <c r="C31" s="20" cm="1">
        <f t="array" ref="C31">MMULT(Evaluation!$F$17:$H$17,'Consolidated Output'!C32:C34)</f>
        <v>-1.076426264800861E-3</v>
      </c>
      <c r="D31" s="20" cm="1">
        <f t="array" ref="D31">MMULT(Evaluation!$F$17:$H$17,'Consolidated Output'!D32:D34)</f>
        <v>3.1374281926646048E-2</v>
      </c>
      <c r="E31" s="20" cm="1">
        <f t="array" ref="E31">MMULT(Evaluation!$F$17:$H$17,'Consolidated Output'!E32:E34)</f>
        <v>2.7969348659003832E-2</v>
      </c>
      <c r="F31" s="20" cm="1">
        <f t="array" ref="F31">MMULT(Evaluation!$F$17:$H$17,'Consolidated Output'!F32:F34)</f>
        <v>0.17882836587872558</v>
      </c>
      <c r="G31" s="20" cm="1">
        <f t="array" ref="G31">MMULT(Evaluation!$F$17:$H$17,'Consolidated Output'!G32:G34)</f>
        <v>0.13663479759177843</v>
      </c>
      <c r="H31" s="20" cm="1">
        <f t="array" ref="H31">MMULT(Evaluation!$F$17:$H$17,'Consolidated Output'!H32:H34)</f>
        <v>0.29898979340943976</v>
      </c>
      <c r="I31" s="20" cm="1">
        <f t="array" ref="I31">MMULT(Evaluation!$F$17:$H$17,'Consolidated Output'!I32:I34)</f>
        <v>0.33345071411822824</v>
      </c>
      <c r="J31" s="20" cm="1">
        <f t="array" ref="J31">MMULT(Evaluation!$F$17:$H$17,'Consolidated Output'!J32:J34)</f>
        <v>0.34932774205022082</v>
      </c>
      <c r="K31" s="20" cm="1">
        <f t="array" ref="K31">MMULT(Evaluation!$F$17:$H$17,'Consolidated Output'!K32:K34)</f>
        <v>0.37291054265574336</v>
      </c>
    </row>
    <row r="32" spans="1:11" x14ac:dyDescent="0.25">
      <c r="A32" t="str" cm="1">
        <f t="array" ref="A32">INDEX(_xlfn.TEXTSPLIT('Scenario Outputs'!B46,":"),,1)</f>
        <v>FCF Margin before Buybacks</v>
      </c>
      <c r="B32" s="96" t="str" cm="1">
        <f t="array" ref="B32">INDEX(_xlfn.TEXTSPLIT('Scenario Outputs'!B47,":"),,1)</f>
        <v>Base</v>
      </c>
      <c r="C32" s="20">
        <f>'Scenario Outputs'!F47</f>
        <v>-1.076426264800861E-3</v>
      </c>
      <c r="D32" s="20">
        <f>'Scenario Outputs'!G47</f>
        <v>3.1374281926646048E-2</v>
      </c>
      <c r="E32" s="20">
        <f>'Scenario Outputs'!H47</f>
        <v>2.7969348659003832E-2</v>
      </c>
      <c r="F32" s="20">
        <f>'Scenario Outputs'!I47</f>
        <v>0.17882836587872558</v>
      </c>
      <c r="G32" s="20">
        <f>'Scenario Outputs'!J47</f>
        <v>0.14032475845925349</v>
      </c>
      <c r="H32" s="20">
        <f>'Scenario Outputs'!K47</f>
        <v>0.30459787847998238</v>
      </c>
      <c r="I32" s="20">
        <f>'Scenario Outputs'!L47</f>
        <v>0.34030607669556662</v>
      </c>
      <c r="J32" s="20">
        <f>'Scenario Outputs'!M47</f>
        <v>0.35718785947110615</v>
      </c>
      <c r="K32" s="20">
        <f>'Scenario Outputs'!N47</f>
        <v>0.38185809687281508</v>
      </c>
    </row>
    <row r="33" spans="1:11" x14ac:dyDescent="0.25">
      <c r="A33" t="str" cm="1">
        <f t="array" ref="A33">INDEX(_xlfn.TEXTSPLIT('Scenario Outputs'!B46,":"),,1)</f>
        <v>FCF Margin before Buybacks</v>
      </c>
      <c r="B33" s="96" t="str" cm="1">
        <f t="array" ref="B33">INDEX(_xlfn.TEXTSPLIT('Scenario Outputs'!B48,":"),,1)</f>
        <v>Pessimistic</v>
      </c>
      <c r="C33" s="20">
        <f>'Scenario Outputs'!F48</f>
        <v>-1.076426264800861E-3</v>
      </c>
      <c r="D33" s="20">
        <f>'Scenario Outputs'!G48</f>
        <v>3.1374281926646048E-2</v>
      </c>
      <c r="E33" s="20">
        <f>'Scenario Outputs'!H48</f>
        <v>2.7969348659003832E-2</v>
      </c>
      <c r="F33" s="20">
        <f>'Scenario Outputs'!I48</f>
        <v>0.17882836587872558</v>
      </c>
      <c r="G33" s="20">
        <f>'Scenario Outputs'!J48</f>
        <v>0.10524279914184829</v>
      </c>
      <c r="H33" s="20">
        <f>'Scenario Outputs'!K48</f>
        <v>0.25686856675364139</v>
      </c>
      <c r="I33" s="20">
        <f>'Scenario Outputs'!L48</f>
        <v>0.2779306281395586</v>
      </c>
      <c r="J33" s="20">
        <f>'Scenario Outputs'!M48</f>
        <v>0.28032419537997039</v>
      </c>
      <c r="K33" s="20">
        <f>'Scenario Outputs'!N48</f>
        <v>0.29210711835318054</v>
      </c>
    </row>
    <row r="34" spans="1:11" x14ac:dyDescent="0.25">
      <c r="A34" t="str" cm="1">
        <f t="array" ref="A34">INDEX(_xlfn.TEXTSPLIT('Scenario Outputs'!B46,":"),,1)</f>
        <v>FCF Margin before Buybacks</v>
      </c>
      <c r="B34" s="96" t="str" cm="1">
        <f t="array" ref="B34">INDEX(_xlfn.TEXTSPLIT('Scenario Outputs'!B49,":"),,1)</f>
        <v>Optimistic</v>
      </c>
      <c r="C34" s="20">
        <f>'Scenario Outputs'!F49</f>
        <v>-1.076426264800861E-3</v>
      </c>
      <c r="D34" s="20">
        <f>'Scenario Outputs'!G49</f>
        <v>3.1374281926646048E-2</v>
      </c>
      <c r="E34" s="20">
        <f>'Scenario Outputs'!H49</f>
        <v>2.7969348659003832E-2</v>
      </c>
      <c r="F34" s="20">
        <f>'Scenario Outputs'!I49</f>
        <v>0.17882836587872558</v>
      </c>
      <c r="G34" s="20">
        <f>'Scenario Outputs'!J49</f>
        <v>0.14481713854535558</v>
      </c>
      <c r="H34" s="20">
        <f>'Scenario Outputs'!K49</f>
        <v>0.30903019758972111</v>
      </c>
      <c r="I34" s="20">
        <f>'Scenario Outputs'!L49</f>
        <v>0.34745166157003188</v>
      </c>
      <c r="J34" s="20">
        <f>'Scenario Outputs'!M49</f>
        <v>0.36767195145049192</v>
      </c>
      <c r="K34" s="20">
        <f>'Scenario Outputs'!N49</f>
        <v>0.39475836133245357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3309-8519-447B-B18E-59468F151521}">
  <sheetPr codeName="Sheet19">
    <tabColor theme="9" tint="0.79998168889431442"/>
  </sheetPr>
  <dimension ref="B2:J24"/>
  <sheetViews>
    <sheetView zoomScale="80" zoomScaleNormal="80" workbookViewId="0">
      <selection activeCell="C5" sqref="C5"/>
    </sheetView>
  </sheetViews>
  <sheetFormatPr defaultRowHeight="15" x14ac:dyDescent="0.25"/>
  <cols>
    <col min="2" max="2" width="24.42578125" bestFit="1" customWidth="1"/>
    <col min="3" max="9" width="12.7109375" customWidth="1"/>
    <col min="10" max="10" width="20.7109375" customWidth="1"/>
  </cols>
  <sheetData>
    <row r="2" spans="2:10" x14ac:dyDescent="0.25">
      <c r="C2" s="2" t="s">
        <v>449</v>
      </c>
      <c r="D2" t="s">
        <v>441</v>
      </c>
      <c r="E2" t="s">
        <v>444</v>
      </c>
      <c r="F2" t="s">
        <v>443</v>
      </c>
      <c r="G2" t="s">
        <v>445</v>
      </c>
      <c r="H2" t="s">
        <v>442</v>
      </c>
    </row>
    <row r="3" spans="2:10" x14ac:dyDescent="0.25">
      <c r="B3" t="s">
        <v>462</v>
      </c>
      <c r="C3" t="s">
        <v>463</v>
      </c>
      <c r="D3" t="s">
        <v>464</v>
      </c>
      <c r="E3" t="s">
        <v>465</v>
      </c>
      <c r="F3" t="s">
        <v>466</v>
      </c>
      <c r="G3" t="s">
        <v>467</v>
      </c>
      <c r="H3" t="s">
        <v>468</v>
      </c>
    </row>
    <row r="4" spans="2:10" x14ac:dyDescent="0.25">
      <c r="B4" t="s">
        <v>458</v>
      </c>
      <c r="C4" s="19">
        <v>46085</v>
      </c>
      <c r="D4" s="19">
        <v>46086</v>
      </c>
      <c r="E4" s="19">
        <v>46078</v>
      </c>
      <c r="F4" s="19">
        <v>46070</v>
      </c>
      <c r="G4" s="19">
        <v>46073</v>
      </c>
      <c r="H4" s="19">
        <v>46079</v>
      </c>
    </row>
    <row r="5" spans="2:10" x14ac:dyDescent="0.25">
      <c r="B5" t="s">
        <v>457</v>
      </c>
      <c r="C5" s="204" cm="1" vm="2">
        <f t="array" aca="1" ref="C5" ca="1">_xlfn.STOCKHISTORY(C3,C4,,1,0,1)</f>
        <v>80.72</v>
      </c>
      <c r="D5" cm="1" vm="3">
        <f t="array" aca="1" ref="D5" ca="1">_xlfn.STOCKHISTORY(D3,D4,,1,0,1)</f>
        <v>428.99</v>
      </c>
      <c r="E5" s="204" cm="1" vm="4">
        <f t="array" aca="1" ref="E5" ca="1">_xlfn.STOCKHISTORY(E3,E4,,1,0,1)</f>
        <v>79.03</v>
      </c>
      <c r="F5" s="204" cm="1" vm="5">
        <f t="array" aca="1" ref="F5" ca="1">_xlfn.STOCKHISTORY(F3,F4,,1,0,1)</f>
        <v>148.69999999999999</v>
      </c>
      <c r="G5" s="204" cm="1" vm="6">
        <f t="array" aca="1" ref="G5" ca="1">_xlfn.STOCKHISTORY(G3,G4,,1,0,1)</f>
        <v>92.66</v>
      </c>
      <c r="H5" s="204" cm="1" vm="7">
        <f t="array" aca="1" ref="H5" ca="1">_xlfn.STOCKHISTORY(H3,H4,,1,0,1)</f>
        <v>146.99</v>
      </c>
      <c r="J5" s="39"/>
    </row>
    <row r="6" spans="2:10" x14ac:dyDescent="0.25">
      <c r="B6" t="s">
        <v>456</v>
      </c>
      <c r="C6">
        <f>'Consolidated Model'!F41</f>
        <v>179.29</v>
      </c>
      <c r="D6">
        <v>250.57599999999999</v>
      </c>
      <c r="E6">
        <v>764.6</v>
      </c>
      <c r="F6">
        <v>711</v>
      </c>
      <c r="G6">
        <v>36.453000000000003</v>
      </c>
      <c r="H6">
        <v>159.68299999999999</v>
      </c>
      <c r="J6" s="39"/>
    </row>
    <row r="7" spans="2:10" x14ac:dyDescent="0.25">
      <c r="B7" t="s">
        <v>433</v>
      </c>
      <c r="C7" s="11">
        <f>Evaluation!C16</f>
        <v>-2203</v>
      </c>
      <c r="D7" s="11">
        <v>-4410</v>
      </c>
      <c r="E7" s="11">
        <v>-2520</v>
      </c>
      <c r="F7" s="11">
        <v>-4170</v>
      </c>
      <c r="G7" s="11">
        <v>-393.67</v>
      </c>
      <c r="H7" s="11">
        <v>-165</v>
      </c>
      <c r="J7" s="39"/>
    </row>
    <row r="8" spans="2:10" x14ac:dyDescent="0.25">
      <c r="B8" t="s">
        <v>437</v>
      </c>
      <c r="C8" s="11">
        <f>'Consolidated Model'!F10</f>
        <v>2919</v>
      </c>
      <c r="D8" s="11">
        <v>4812.0050000000001</v>
      </c>
      <c r="E8" s="11">
        <v>6799.6</v>
      </c>
      <c r="F8" s="11">
        <v>9893</v>
      </c>
      <c r="G8" s="11">
        <v>669.125</v>
      </c>
      <c r="H8" s="11">
        <v>3001.123</v>
      </c>
      <c r="J8" s="39"/>
    </row>
    <row r="9" spans="2:10" x14ac:dyDescent="0.25">
      <c r="B9" t="s">
        <v>459</v>
      </c>
      <c r="C9" s="11">
        <f>'Consolidated Model'!F36</f>
        <v>235</v>
      </c>
      <c r="D9" s="11">
        <v>-162.5</v>
      </c>
      <c r="E9" s="11">
        <v>1853.4</v>
      </c>
      <c r="F9" s="11">
        <v>1282</v>
      </c>
      <c r="G9" s="11">
        <v>198.32</v>
      </c>
      <c r="H9" s="11">
        <v>-67.63</v>
      </c>
      <c r="J9" s="39"/>
    </row>
    <row r="10" spans="2:10" x14ac:dyDescent="0.25">
      <c r="B10" t="s">
        <v>438</v>
      </c>
      <c r="C10" s="11">
        <f>'Consolidated Model'!F29</f>
        <v>245</v>
      </c>
      <c r="D10" s="11">
        <v>-11841</v>
      </c>
      <c r="E10" s="11">
        <v>2236.6999999999998</v>
      </c>
      <c r="F10" s="11">
        <v>1874</v>
      </c>
      <c r="G10" s="11">
        <v>239</v>
      </c>
      <c r="H10" s="11">
        <v>8.3390000000000004</v>
      </c>
      <c r="J10" s="39"/>
    </row>
    <row r="11" spans="2:10" x14ac:dyDescent="0.25">
      <c r="B11" t="s">
        <v>461</v>
      </c>
      <c r="C11" s="11">
        <f ca="1">C5*C6</f>
        <v>14472.288799999998</v>
      </c>
      <c r="D11" s="11">
        <f ca="1">D5*D6</f>
        <v>107494.59824000001</v>
      </c>
      <c r="E11" s="11">
        <f t="shared" ref="E11:H11" ca="1" si="0">E5*E6</f>
        <v>60426.338000000003</v>
      </c>
      <c r="F11" s="11">
        <f t="shared" ca="1" si="0"/>
        <v>105725.7</v>
      </c>
      <c r="G11" s="11">
        <f t="shared" ca="1" si="0"/>
        <v>3377.7349800000002</v>
      </c>
      <c r="H11" s="11">
        <f t="shared" ca="1" si="0"/>
        <v>23471.804169999999</v>
      </c>
      <c r="J11" s="39"/>
    </row>
    <row r="12" spans="2:10" x14ac:dyDescent="0.25">
      <c r="B12" t="s">
        <v>460</v>
      </c>
      <c r="C12" s="11">
        <f t="shared" ref="C12:H12" ca="1" si="1">C11-C7</f>
        <v>16675.288799999998</v>
      </c>
      <c r="D12" s="11">
        <f t="shared" ca="1" si="1"/>
        <v>111904.59824000001</v>
      </c>
      <c r="E12" s="11">
        <f t="shared" ca="1" si="1"/>
        <v>62946.338000000003</v>
      </c>
      <c r="F12" s="11">
        <f t="shared" ca="1" si="1"/>
        <v>109895.7</v>
      </c>
      <c r="G12" s="11">
        <f t="shared" ca="1" si="1"/>
        <v>3771.4049800000003</v>
      </c>
      <c r="H12" s="11">
        <f t="shared" ca="1" si="1"/>
        <v>23636.804169999999</v>
      </c>
      <c r="J12" s="39"/>
    </row>
    <row r="13" spans="2:10" x14ac:dyDescent="0.25">
      <c r="B13" t="s">
        <v>399</v>
      </c>
      <c r="C13" s="114">
        <f>C9/C6</f>
        <v>1.3107256400245413</v>
      </c>
      <c r="D13" s="114">
        <f t="shared" ref="D13:G13" si="2">D9/D6</f>
        <v>-0.64850584253879062</v>
      </c>
      <c r="E13" s="114">
        <f t="shared" si="2"/>
        <v>2.4240125555846195</v>
      </c>
      <c r="F13" s="114">
        <f t="shared" si="2"/>
        <v>1.8030942334739803</v>
      </c>
      <c r="G13" s="114">
        <f t="shared" si="2"/>
        <v>5.4404301429237645</v>
      </c>
      <c r="H13" s="114">
        <f t="shared" ref="H13" si="3">H9/H6</f>
        <v>-0.42352661210022358</v>
      </c>
      <c r="J13" s="39"/>
    </row>
    <row r="14" spans="2:10" x14ac:dyDescent="0.25">
      <c r="J14" s="39"/>
    </row>
    <row r="15" spans="2:10" x14ac:dyDescent="0.25">
      <c r="B15" t="s">
        <v>469</v>
      </c>
      <c r="C15" s="203">
        <f t="shared" ref="C15" ca="1" si="4">C12/C8</f>
        <v>5.7126717368961968</v>
      </c>
      <c r="D15" s="203">
        <f ca="1">D12/D8</f>
        <v>23.255295503641413</v>
      </c>
      <c r="E15" s="203">
        <f t="shared" ref="E15:G15" ca="1" si="5">E12/E8</f>
        <v>9.2573589622918995</v>
      </c>
      <c r="F15" s="203">
        <f t="shared" ca="1" si="5"/>
        <v>11.108430203173961</v>
      </c>
      <c r="G15" s="203">
        <f t="shared" ca="1" si="5"/>
        <v>5.6363235269942091</v>
      </c>
      <c r="H15" s="203">
        <f t="shared" ref="H15" ca="1" si="6">H12/H8</f>
        <v>7.8759864790613374</v>
      </c>
      <c r="J15" s="39"/>
    </row>
    <row r="16" spans="2:10" x14ac:dyDescent="0.25">
      <c r="B16" t="s">
        <v>470</v>
      </c>
      <c r="C16" s="203">
        <f ca="1">IFERROR(MAX(C12/C10,0),0)</f>
        <v>68.062403265306116</v>
      </c>
      <c r="D16" s="203">
        <f t="shared" ref="D16:F16" ca="1" si="7">IFERROR(MAX(D12/D10,0),0)</f>
        <v>0</v>
      </c>
      <c r="E16" s="203">
        <f t="shared" ca="1" si="7"/>
        <v>28.142503688469624</v>
      </c>
      <c r="F16" s="203">
        <f t="shared" ca="1" si="7"/>
        <v>58.6423159018143</v>
      </c>
      <c r="G16" s="203">
        <f t="shared" ref="G16" ca="1" si="8">MAX(G12/G10,0)</f>
        <v>15.779937154811716</v>
      </c>
      <c r="H16" s="203">
        <f t="shared" ref="H16" ca="1" si="9">MAX(H12/H10,0)</f>
        <v>2834.4890478474636</v>
      </c>
      <c r="J16" s="149"/>
    </row>
    <row r="17" spans="2:8" x14ac:dyDescent="0.25">
      <c r="B17" t="s">
        <v>471</v>
      </c>
      <c r="C17" s="203">
        <f t="shared" ref="C17" ca="1" si="10">MAX(C5/C13,0)</f>
        <v>61.584207659574467</v>
      </c>
      <c r="D17" s="203">
        <f ca="1">MAX(D5/D13,0)</f>
        <v>0</v>
      </c>
      <c r="E17" s="203">
        <f t="shared" ref="E17:G17" ca="1" si="11">MAX(E5/E13,0)</f>
        <v>32.602966440056115</v>
      </c>
      <c r="F17" s="203">
        <f t="shared" ca="1" si="11"/>
        <v>82.469344773790937</v>
      </c>
      <c r="G17" s="203">
        <f t="shared" ca="1" si="11"/>
        <v>17.031741528842275</v>
      </c>
      <c r="H17" s="203">
        <f t="shared" ref="H17" ca="1" si="12">MAX(H5/H13,0)</f>
        <v>0</v>
      </c>
    </row>
    <row r="20" spans="2:8" x14ac:dyDescent="0.25">
      <c r="B20" s="2"/>
    </row>
    <row r="21" spans="2:8" x14ac:dyDescent="0.25">
      <c r="G21" s="187"/>
    </row>
    <row r="22" spans="2:8" x14ac:dyDescent="0.25">
      <c r="G22" s="187"/>
    </row>
    <row r="23" spans="2:8" x14ac:dyDescent="0.25">
      <c r="G23" s="187"/>
    </row>
    <row r="24" spans="2:8" x14ac:dyDescent="0.25">
      <c r="G24" s="18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6DE9-F46B-4A29-9728-030D68D8927A}">
  <sheetPr codeName="Sheet20">
    <tabColor theme="9" tint="0.79998168889431442"/>
  </sheetPr>
  <dimension ref="B2:AG42"/>
  <sheetViews>
    <sheetView zoomScale="80" zoomScaleNormal="80" workbookViewId="0">
      <selection activeCell="F8" sqref="F8"/>
    </sheetView>
  </sheetViews>
  <sheetFormatPr defaultRowHeight="15" x14ac:dyDescent="0.25"/>
  <cols>
    <col min="2" max="2" width="32.140625" bestFit="1" customWidth="1"/>
    <col min="3" max="3" width="12.7109375" customWidth="1"/>
    <col min="4" max="4" width="2.7109375" customWidth="1"/>
    <col min="5" max="5" width="22.28515625" bestFit="1" customWidth="1"/>
    <col min="6" max="9" width="12.7109375" customWidth="1"/>
    <col min="10" max="10" width="4.5703125" customWidth="1"/>
    <col min="11" max="11" width="5.5703125" bestFit="1" customWidth="1"/>
    <col min="21" max="21" width="2.7109375" customWidth="1"/>
    <col min="22" max="22" width="4.5703125" bestFit="1" customWidth="1"/>
    <col min="23" max="23" width="5.5703125" bestFit="1" customWidth="1"/>
  </cols>
  <sheetData>
    <row r="2" spans="2:33" x14ac:dyDescent="0.25">
      <c r="B2" s="2" t="s">
        <v>503</v>
      </c>
    </row>
    <row r="4" spans="2:33" x14ac:dyDescent="0.25">
      <c r="J4" s="94"/>
      <c r="K4" s="94"/>
      <c r="L4" s="284" t="s">
        <v>501</v>
      </c>
      <c r="M4" s="284"/>
      <c r="N4" s="284"/>
      <c r="O4" s="284"/>
      <c r="P4" s="284"/>
      <c r="Q4" s="284"/>
      <c r="R4" s="284"/>
      <c r="S4" s="284"/>
      <c r="T4" s="284"/>
      <c r="U4" s="2"/>
      <c r="V4" s="94"/>
      <c r="W4" s="94"/>
      <c r="X4" s="284" t="s">
        <v>502</v>
      </c>
      <c r="Y4" s="284"/>
      <c r="Z4" s="284"/>
      <c r="AA4" s="284"/>
      <c r="AB4" s="284"/>
      <c r="AC4" s="284"/>
      <c r="AD4" s="284"/>
      <c r="AE4" s="284"/>
      <c r="AF4" s="284"/>
    </row>
    <row r="5" spans="2:33" x14ac:dyDescent="0.25">
      <c r="J5" s="100"/>
      <c r="K5" s="100"/>
      <c r="L5" s="99" t="s">
        <v>371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</row>
    <row r="6" spans="2:33" x14ac:dyDescent="0.25">
      <c r="D6" s="1"/>
      <c r="L6" s="285" t="s">
        <v>480</v>
      </c>
      <c r="M6" s="285"/>
      <c r="N6" s="285"/>
      <c r="O6" s="285"/>
      <c r="P6" s="285"/>
      <c r="Q6" s="285"/>
      <c r="R6" s="285"/>
      <c r="S6" s="285"/>
      <c r="T6" s="285"/>
      <c r="X6" s="285" t="s">
        <v>480</v>
      </c>
      <c r="Y6" s="285"/>
      <c r="Z6" s="285"/>
      <c r="AA6" s="285"/>
      <c r="AB6" s="285"/>
      <c r="AC6" s="285"/>
      <c r="AD6" s="285"/>
      <c r="AE6" s="285"/>
      <c r="AF6" s="285"/>
    </row>
    <row r="7" spans="2:33" ht="15.75" thickBot="1" x14ac:dyDescent="0.3">
      <c r="B7" s="208" t="s">
        <v>479</v>
      </c>
      <c r="C7" s="7"/>
      <c r="E7" s="94" t="s">
        <v>488</v>
      </c>
      <c r="F7" s="208" t="s">
        <v>371</v>
      </c>
      <c r="G7" s="208" t="s">
        <v>368</v>
      </c>
      <c r="H7" s="208" t="s">
        <v>373</v>
      </c>
      <c r="I7" s="8"/>
      <c r="K7" s="22"/>
      <c r="L7" s="22">
        <f t="shared" ref="L7:N7" ca="1" si="0">M7-0.01</f>
        <v>6.6850000000000021E-2</v>
      </c>
      <c r="M7" s="22">
        <f t="shared" ca="1" si="0"/>
        <v>7.6850000000000016E-2</v>
      </c>
      <c r="N7" s="22">
        <f t="shared" ca="1" si="0"/>
        <v>8.6850000000000011E-2</v>
      </c>
      <c r="O7" s="22">
        <f ca="1">P7-0.01</f>
        <v>9.6850000000000006E-2</v>
      </c>
      <c r="P7" s="81">
        <f ca="1">$C$11</f>
        <v>0.10685</v>
      </c>
      <c r="Q7" s="22">
        <f ca="1">P7+0.01</f>
        <v>0.11685</v>
      </c>
      <c r="R7" s="22">
        <f t="shared" ref="R7:T7" ca="1" si="1">Q7+0.01</f>
        <v>0.12684999999999999</v>
      </c>
      <c r="S7" s="22">
        <f t="shared" ca="1" si="1"/>
        <v>0.13685</v>
      </c>
      <c r="T7" s="22">
        <f t="shared" ca="1" si="1"/>
        <v>0.14685000000000001</v>
      </c>
      <c r="W7" s="22"/>
      <c r="X7" s="22">
        <f t="shared" ref="X7:Z7" ca="1" si="2">Y7-0.01</f>
        <v>6.6850000000000021E-2</v>
      </c>
      <c r="Y7" s="22">
        <f t="shared" ca="1" si="2"/>
        <v>7.6850000000000016E-2</v>
      </c>
      <c r="Z7" s="22">
        <f t="shared" ca="1" si="2"/>
        <v>8.6850000000000011E-2</v>
      </c>
      <c r="AA7" s="22">
        <f ca="1">AB7-0.01</f>
        <v>9.6850000000000006E-2</v>
      </c>
      <c r="AB7" s="81">
        <f ca="1">$C$11</f>
        <v>0.10685</v>
      </c>
      <c r="AC7" s="22">
        <f ca="1">AB7+0.01</f>
        <v>0.11685</v>
      </c>
      <c r="AD7" s="22">
        <f t="shared" ref="AD7:AF7" ca="1" si="3">AC7+0.01</f>
        <v>0.12684999999999999</v>
      </c>
      <c r="AE7" s="22">
        <f t="shared" ca="1" si="3"/>
        <v>0.13685</v>
      </c>
      <c r="AF7" s="22">
        <f t="shared" ca="1" si="3"/>
        <v>0.14685000000000001</v>
      </c>
    </row>
    <row r="8" spans="2:33" x14ac:dyDescent="0.25">
      <c r="B8" s="3" t="s">
        <v>483</v>
      </c>
      <c r="C8" s="209" cm="1">
        <f t="array" aca="1" ref="C8" ca="1">_xlfn.STOCKHISTORY("^TNX",Evaluation!C5,,1,0,1)/1000</f>
        <v>4.2849999999999999E-2</v>
      </c>
      <c r="E8" s="218">
        <v>46418</v>
      </c>
      <c r="F8" s="216">
        <f>INDEX('Scenario Outputs'!$J$42:$N$44,MATCH(F$7,_xlfn.ANCHORARRAY('Scenario Outputs'!$B$5),0),MATCH($E8,'Scenario Outputs'!$J$9:$N$9,0))*(1/(1+$C$16)^DATEDIF(EOMONTH(Evaluation!$C$4,-12),$E8,"Y"))</f>
        <v>404.14066855059963</v>
      </c>
      <c r="G8" s="216">
        <f>INDEX('Scenario Outputs'!$J$42:$N$44,MATCH(G$7,_xlfn.ANCHORARRAY('Scenario Outputs'!$B$5),0),MATCH($E8,'Scenario Outputs'!$J$9:$N$9,0))*(1/(1+$C$16)^DATEDIF(EOMONTH(Evaluation!$C$4,-12),$E8,"Y"))</f>
        <v>306.56893134608811</v>
      </c>
      <c r="H8" s="216">
        <f>INDEX('Scenario Outputs'!$J$42:$N$44,MATCH(H$7,_xlfn.ANCHORARRAY('Scenario Outputs'!$B$5),0),MATCH($E8,'Scenario Outputs'!$J$9:$N$9,0))*(1/(1+$C$16)^DATEDIF(EOMONTH(Evaluation!$C$4,-12),$E8,"Y"))</f>
        <v>444.3881491769954</v>
      </c>
      <c r="I8" s="216"/>
      <c r="J8" s="286" t="s">
        <v>496</v>
      </c>
      <c r="K8" s="22">
        <f t="shared" ref="K8:K10" si="4">K9+0.005</f>
        <v>6.2599999999999989E-2</v>
      </c>
      <c r="L8" s="172"/>
      <c r="M8" s="173">
        <v>64384.959999999999</v>
      </c>
      <c r="N8" s="173">
        <v>36450.93</v>
      </c>
      <c r="O8" s="173">
        <v>24965.86</v>
      </c>
      <c r="P8" s="184">
        <v>18764.61</v>
      </c>
      <c r="Q8" s="173">
        <v>14915.74</v>
      </c>
      <c r="R8" s="173">
        <v>12313.83</v>
      </c>
      <c r="S8" s="173">
        <v>10449.700000000001</v>
      </c>
      <c r="T8" s="174">
        <v>9056.5</v>
      </c>
      <c r="V8" s="286" t="s">
        <v>496</v>
      </c>
      <c r="W8" s="22">
        <f t="shared" ref="W8:W10" si="5">W9+0.005</f>
        <v>6.2599999999999989E-2</v>
      </c>
      <c r="X8" s="223"/>
      <c r="Y8" s="224">
        <f>(M8-Evaluation!$C$16)/Evaluation!$C$10</f>
        <v>371.39807016565339</v>
      </c>
      <c r="Z8" s="224">
        <f>(N8-Evaluation!$C$16)/Evaluation!$C$10</f>
        <v>215.5944559094205</v>
      </c>
      <c r="AA8" s="224">
        <f>(O8-Evaluation!$C$16)/Evaluation!$C$10</f>
        <v>151.53583579675387</v>
      </c>
      <c r="AB8" s="225">
        <f>(P8-Evaluation!$C$16)/Evaluation!$C$10</f>
        <v>116.94801717887222</v>
      </c>
      <c r="AC8" s="224">
        <f>(Q8-Evaluation!$C$16)/Evaluation!$C$10</f>
        <v>95.480729544313675</v>
      </c>
      <c r="AD8" s="224">
        <f>(R8-Evaluation!$C$16)/Evaluation!$C$10</f>
        <v>80.968431033521114</v>
      </c>
      <c r="AE8" s="224">
        <f>(S8-Evaluation!$C$16)/Evaluation!$C$10</f>
        <v>70.57114172569581</v>
      </c>
      <c r="AF8" s="226">
        <f>(T8-Evaluation!$C$16)/Evaluation!$C$10</f>
        <v>62.800490824920523</v>
      </c>
    </row>
    <row r="9" spans="2:33" x14ac:dyDescent="0.25">
      <c r="B9" s="3" t="s">
        <v>484</v>
      </c>
      <c r="C9" s="80">
        <v>0.05</v>
      </c>
      <c r="E9" s="218">
        <v>46783</v>
      </c>
      <c r="F9" s="216">
        <f>INDEX('Scenario Outputs'!$J$42:$N$44,MATCH(F$7,_xlfn.ANCHORARRAY('Scenario Outputs'!$B$5),0),MATCH($E9,'Scenario Outputs'!$J$9:$N$9,0))*(1/(1+$C$16)^DATEDIF(EOMONTH(Evaluation!$C$4,-12),$E9,"Y"))</f>
        <v>836.2788731253961</v>
      </c>
      <c r="G9" s="216">
        <f>INDEX('Scenario Outputs'!$J$42:$N$44,MATCH(G$7,_xlfn.ANCHORARRAY('Scenario Outputs'!$B$5),0),MATCH($E9,'Scenario Outputs'!$J$9:$N$9,0))*(1/(1+$C$16)^DATEDIF(EOMONTH(Evaluation!$C$4,-12),$E9,"Y"))</f>
        <v>690.20512342918482</v>
      </c>
      <c r="H9" s="216">
        <f>INDEX('Scenario Outputs'!$J$42:$N$44,MATCH(H$7,_xlfn.ANCHORARRAY('Scenario Outputs'!$B$5),0),MATCH($E9,'Scenario Outputs'!$J$9:$N$9,0))*(1/(1+$C$16)^DATEDIF(EOMONTH(Evaluation!$C$4,-12),$E9,"Y"))</f>
        <v>903.36949575536926</v>
      </c>
      <c r="I9" s="216"/>
      <c r="J9" s="286"/>
      <c r="K9" s="22">
        <f t="shared" si="4"/>
        <v>5.7599999999999991E-2</v>
      </c>
      <c r="L9" s="175">
        <v>105435.93</v>
      </c>
      <c r="M9" s="176">
        <v>48625.18</v>
      </c>
      <c r="N9" s="261">
        <v>30842.67</v>
      </c>
      <c r="O9" s="261">
        <v>22240.85</v>
      </c>
      <c r="P9" s="262">
        <v>17215.52</v>
      </c>
      <c r="Q9" s="261">
        <v>13947.13</v>
      </c>
      <c r="R9" s="261">
        <v>11668.02</v>
      </c>
      <c r="S9" s="176">
        <v>9998.7099999999991</v>
      </c>
      <c r="T9" s="177">
        <v>8730.32</v>
      </c>
      <c r="V9" s="286"/>
      <c r="W9" s="22">
        <f t="shared" si="5"/>
        <v>5.7599999999999991E-2</v>
      </c>
      <c r="X9" s="227">
        <f>(L9-Evaluation!$C$16)/Evaluation!$C$10</f>
        <v>600.36215070556079</v>
      </c>
      <c r="Y9" s="228">
        <f>(M9-Evaluation!$C$16)/Evaluation!$C$10</f>
        <v>283.4970160075855</v>
      </c>
      <c r="Z9" s="241">
        <f>(N9-Evaluation!$C$16)/Evaluation!$C$10</f>
        <v>184.31407217357355</v>
      </c>
      <c r="AA9" s="241">
        <f>(O9-Evaluation!$C$16)/Evaluation!$C$10</f>
        <v>136.33694015282504</v>
      </c>
      <c r="AB9" s="242">
        <f>(P9-Evaluation!$C$16)/Evaluation!$C$10</f>
        <v>108.3078810865079</v>
      </c>
      <c r="AC9" s="241">
        <f>(Q9-Evaluation!$C$16)/Evaluation!$C$10</f>
        <v>90.07825310948742</v>
      </c>
      <c r="AD9" s="241">
        <f>(R9-Evaluation!$C$16)/Evaluation!$C$10</f>
        <v>77.366389648056227</v>
      </c>
      <c r="AE9" s="228">
        <f>(S9-Evaluation!$C$16)/Evaluation!$C$10</f>
        <v>68.055719783590831</v>
      </c>
      <c r="AF9" s="230">
        <f>(T9-Evaluation!$C$16)/Evaluation!$C$10</f>
        <v>60.981203636566455</v>
      </c>
    </row>
    <row r="10" spans="2:33" x14ac:dyDescent="0.25">
      <c r="B10" s="3" t="s">
        <v>493</v>
      </c>
      <c r="C10" s="211">
        <v>1.28</v>
      </c>
      <c r="E10" s="218">
        <v>47149</v>
      </c>
      <c r="F10" s="216">
        <f>INDEX('Scenario Outputs'!$J$42:$N$44,MATCH(F$7,_xlfn.ANCHORARRAY('Scenario Outputs'!$B$5),0),MATCH($E10,'Scenario Outputs'!$J$9:$N$9,0))*(1/(1+$C$16)^DATEDIF(EOMONTH(Evaluation!$C$4,-12),$E10,"Y"))</f>
        <v>910.51877836262008</v>
      </c>
      <c r="G10" s="216">
        <f>INDEX('Scenario Outputs'!$J$42:$N$44,MATCH(G$7,_xlfn.ANCHORARRAY('Scenario Outputs'!$B$5),0),MATCH($E10,'Scenario Outputs'!$J$9:$N$9,0))*(1/(1+$C$16)^DATEDIF(EOMONTH(Evaluation!$C$4,-12),$E10,"Y"))</f>
        <v>709.701474370612</v>
      </c>
      <c r="H10" s="216">
        <f>INDEX('Scenario Outputs'!$J$42:$N$44,MATCH(H$7,_xlfn.ANCHORARRAY('Scenario Outputs'!$B$5),0),MATCH($E10,'Scenario Outputs'!$J$9:$N$9,0))*(1/(1+$C$16)^DATEDIF(EOMONTH(Evaluation!$C$4,-12),$E10,"Y"))</f>
        <v>1006.7443547338829</v>
      </c>
      <c r="I10" s="216"/>
      <c r="J10" s="286"/>
      <c r="K10" s="22">
        <f t="shared" si="4"/>
        <v>5.2599999999999994E-2</v>
      </c>
      <c r="L10" s="175">
        <v>69765.72</v>
      </c>
      <c r="M10" s="257">
        <v>39364.28</v>
      </c>
      <c r="N10" s="265">
        <v>26871.86</v>
      </c>
      <c r="O10" s="266">
        <v>20131.669999999998</v>
      </c>
      <c r="P10" s="267">
        <v>15951.99</v>
      </c>
      <c r="Q10" s="266">
        <v>13129.27</v>
      </c>
      <c r="R10" s="268">
        <v>11109.19</v>
      </c>
      <c r="S10" s="259">
        <v>9601.25</v>
      </c>
      <c r="T10" s="177">
        <v>8438.75</v>
      </c>
      <c r="V10" s="286"/>
      <c r="W10" s="22">
        <f t="shared" si="5"/>
        <v>5.2599999999999994E-2</v>
      </c>
      <c r="X10" s="227">
        <f>(L10-Evaluation!$C$16)/Evaluation!$C$10</f>
        <v>401.40955993083833</v>
      </c>
      <c r="Y10" s="237">
        <f>(M10-Evaluation!$C$16)/Evaluation!$C$10</f>
        <v>231.84382843438007</v>
      </c>
      <c r="Z10" s="245">
        <f>(N10-Evaluation!$C$16)/Evaluation!$C$10</f>
        <v>162.16665737074015</v>
      </c>
      <c r="AA10" s="255">
        <f>(O10-Evaluation!$C$16)/Evaluation!$C$10</f>
        <v>124.57287076802945</v>
      </c>
      <c r="AB10" s="246">
        <f>(P10-Evaluation!$C$16)/Evaluation!$C$10</f>
        <v>101.2604718612304</v>
      </c>
      <c r="AC10" s="255">
        <f>(Q10-Evaluation!$C$16)/Evaluation!$C$10</f>
        <v>85.516593228847128</v>
      </c>
      <c r="AD10" s="247">
        <f>(R10-Evaluation!$C$16)/Evaluation!$C$10</f>
        <v>74.249484076077863</v>
      </c>
      <c r="AE10" s="239">
        <f>(S10-Evaluation!$C$16)/Evaluation!$C$10</f>
        <v>65.838864409615709</v>
      </c>
      <c r="AF10" s="230">
        <f>(T10-Evaluation!$C$16)/Evaluation!$C$10</f>
        <v>59.354955658430477</v>
      </c>
    </row>
    <row r="11" spans="2:33" x14ac:dyDescent="0.25">
      <c r="B11" s="3" t="s">
        <v>481</v>
      </c>
      <c r="C11" s="37">
        <f ca="1">C8+(C9*C10)</f>
        <v>0.10685</v>
      </c>
      <c r="E11" s="218">
        <v>47514</v>
      </c>
      <c r="F11" s="216">
        <f>INDEX('Scenario Outputs'!$J$42:$N$44,MATCH(F$7,_xlfn.ANCHORARRAY('Scenario Outputs'!$B$5),0),MATCH($E11,'Scenario Outputs'!$J$9:$N$9,0))*(1/(1+$C$16)^DATEDIF(EOMONTH(Evaluation!$C$4,-12),$E11,"Y"))</f>
        <v>951.83263518904846</v>
      </c>
      <c r="G11" s="216">
        <f>INDEX('Scenario Outputs'!$J$42:$N$44,MATCH(G$7,_xlfn.ANCHORARRAY('Scenario Outputs'!$B$5),0),MATCH($E11,'Scenario Outputs'!$J$9:$N$9,0))*(1/(1+$C$16)^DATEDIF(EOMONTH(Evaluation!$C$4,-12),$E11,"Y"))</f>
        <v>695.26995155194652</v>
      </c>
      <c r="H11" s="216">
        <f>INDEX('Scenario Outputs'!$J$42:$N$44,MATCH(H$7,_xlfn.ANCHORARRAY('Scenario Outputs'!$B$5),0),MATCH($E11,'Scenario Outputs'!$J$9:$N$9,0))*(1/(1+$C$16)^DATEDIF(EOMONTH(Evaluation!$C$4,-12),$E11,"Y"))</f>
        <v>1082.1479151458268</v>
      </c>
      <c r="I11" s="216"/>
      <c r="J11" s="286"/>
      <c r="K11" s="22">
        <f>K12+0.005</f>
        <v>4.7599999999999996E-2</v>
      </c>
      <c r="L11" s="175">
        <v>52625.49</v>
      </c>
      <c r="M11" s="257">
        <v>33269.5</v>
      </c>
      <c r="N11" s="269">
        <v>23912.71</v>
      </c>
      <c r="O11" s="176">
        <v>18450.75</v>
      </c>
      <c r="P11" s="181">
        <v>14901.71</v>
      </c>
      <c r="Q11" s="176">
        <v>12429.52</v>
      </c>
      <c r="R11" s="270">
        <v>10620.87</v>
      </c>
      <c r="S11" s="259">
        <v>9248.32</v>
      </c>
      <c r="T11" s="177">
        <v>8176.56</v>
      </c>
      <c r="V11" s="286"/>
      <c r="W11" s="22">
        <f>W12+0.005</f>
        <v>4.7599999999999996E-2</v>
      </c>
      <c r="X11" s="227">
        <f>(L11-Evaluation!$C$16)/Evaluation!$C$10</f>
        <v>305.80896870991131</v>
      </c>
      <c r="Y11" s="237">
        <f>(M11-Evaluation!$C$16)/Evaluation!$C$10</f>
        <v>197.84985219476826</v>
      </c>
      <c r="Z11" s="248">
        <f>(N11-Evaluation!$C$16)/Evaluation!$C$10</f>
        <v>145.66183278487367</v>
      </c>
      <c r="AA11" s="228">
        <f>(O11-Evaluation!$C$16)/Evaluation!$C$10</f>
        <v>115.19744547939094</v>
      </c>
      <c r="AB11" s="229">
        <f>(P11-Evaluation!$C$16)/Evaluation!$C$10</f>
        <v>95.402476434826255</v>
      </c>
      <c r="AC11" s="228">
        <f>(Q11-Evaluation!$C$16)/Evaluation!$C$10</f>
        <v>81.613698477327247</v>
      </c>
      <c r="AD11" s="249">
        <f>(R11-Evaluation!$C$16)/Evaluation!$C$10</f>
        <v>71.525851971666029</v>
      </c>
      <c r="AE11" s="239">
        <f>(S11-Evaluation!$C$16)/Evaluation!$C$10</f>
        <v>63.870377600535448</v>
      </c>
      <c r="AF11" s="230">
        <f>(T11-Evaluation!$C$16)/Evaluation!$C$10</f>
        <v>57.892576273077147</v>
      </c>
    </row>
    <row r="12" spans="2:33" x14ac:dyDescent="0.25">
      <c r="B12" s="3" t="s">
        <v>485</v>
      </c>
      <c r="C12" s="80">
        <v>1.9E-2</v>
      </c>
      <c r="E12" s="219">
        <v>47879</v>
      </c>
      <c r="F12" s="217">
        <f>INDEX('Scenario Outputs'!$J$42:$N$44,MATCH(F$7,_xlfn.ANCHORARRAY('Scenario Outputs'!$B$5),0),MATCH($E12,'Scenario Outputs'!$J$9:$N$9,0))*(1/(1+$C$16)^DATEDIF(EOMONTH(Evaluation!$C$4,-12),$E12,"Y"))</f>
        <v>1013.3948212823865</v>
      </c>
      <c r="G12" s="217">
        <f>INDEX('Scenario Outputs'!$J$42:$N$44,MATCH(G$7,_xlfn.ANCHORARRAY('Scenario Outputs'!$B$5),0),MATCH($E12,'Scenario Outputs'!$J$9:$N$9,0))*(1/(1+$C$16)^DATEDIF(EOMONTH(Evaluation!$C$4,-12),$E12,"Y"))</f>
        <v>705.14247705122284</v>
      </c>
      <c r="H12" s="217">
        <f>INDEX('Scenario Outputs'!$J$42:$N$44,MATCH(H$7,_xlfn.ANCHORARRAY('Scenario Outputs'!$B$5),0),MATCH($E12,'Scenario Outputs'!$J$9:$N$9,0))*(1/(1+$C$16)^DATEDIF(EOMONTH(Evaluation!$C$4,-12),$E12,"Y"))</f>
        <v>1180.1799098202473</v>
      </c>
      <c r="I12" s="216"/>
      <c r="J12" s="286"/>
      <c r="K12" s="81">
        <f>$C$14</f>
        <v>4.2599999999999999E-2</v>
      </c>
      <c r="L12" s="182">
        <v>42553.39</v>
      </c>
      <c r="M12" s="258">
        <v>28954.22</v>
      </c>
      <c r="N12" s="271">
        <v>21622.3</v>
      </c>
      <c r="O12" s="181">
        <v>17079.669999999998</v>
      </c>
      <c r="P12" s="181">
        <v>14014.89</v>
      </c>
      <c r="Q12" s="181">
        <v>11824</v>
      </c>
      <c r="R12" s="272">
        <v>10190.51</v>
      </c>
      <c r="S12" s="260">
        <v>8932.84</v>
      </c>
      <c r="T12" s="183">
        <v>7939.52</v>
      </c>
      <c r="V12" s="286"/>
      <c r="W12" s="81">
        <f>$C$14</f>
        <v>4.2599999999999999E-2</v>
      </c>
      <c r="X12" s="231">
        <f>(L12-Evaluation!$C$16)/Evaluation!$C$10</f>
        <v>249.63126777845949</v>
      </c>
      <c r="Y12" s="238">
        <f>(M12-Evaluation!$C$16)/Evaluation!$C$10</f>
        <v>173.78113670589548</v>
      </c>
      <c r="Z12" s="250">
        <f>(N12-Evaluation!$C$16)/Evaluation!$C$10</f>
        <v>132.886942941603</v>
      </c>
      <c r="AA12" s="229">
        <f>(O12-Evaluation!$C$16)/Evaluation!$C$10</f>
        <v>107.5501701154554</v>
      </c>
      <c r="AB12" s="229">
        <f>(P12-Evaluation!$C$16)/Evaluation!$C$10</f>
        <v>90.456188298287685</v>
      </c>
      <c r="AC12" s="229">
        <f>(Q12-Evaluation!$C$16)/Evaluation!$C$10</f>
        <v>78.236376819677616</v>
      </c>
      <c r="AD12" s="251">
        <f>(R12-Evaluation!$C$16)/Evaluation!$C$10</f>
        <v>69.125495008087455</v>
      </c>
      <c r="AE12" s="240">
        <f>(S12-Evaluation!$C$16)/Evaluation!$C$10</f>
        <v>62.110770260471867</v>
      </c>
      <c r="AF12" s="232">
        <f>(T12-Evaluation!$C$16)/Evaluation!$C$10</f>
        <v>56.570472418986007</v>
      </c>
    </row>
    <row r="13" spans="2:33" x14ac:dyDescent="0.25">
      <c r="B13" s="3" t="s">
        <v>486</v>
      </c>
      <c r="C13" s="80">
        <v>2.3599999999999999E-2</v>
      </c>
      <c r="E13" s="220" t="s">
        <v>487</v>
      </c>
      <c r="F13" s="216">
        <f>SUM(F8:F12)</f>
        <v>4116.1657765100508</v>
      </c>
      <c r="G13" s="216">
        <f>SUM(G8:G12)</f>
        <v>3106.8879577490543</v>
      </c>
      <c r="H13" s="216">
        <f>SUM(H8:H12)</f>
        <v>4616.829824632322</v>
      </c>
      <c r="I13" s="216"/>
      <c r="J13" s="286"/>
      <c r="K13" s="22">
        <f>K12-0.005</f>
        <v>3.7600000000000001E-2</v>
      </c>
      <c r="L13" s="175">
        <v>35924.75</v>
      </c>
      <c r="M13" s="257">
        <v>25738.38</v>
      </c>
      <c r="N13" s="269">
        <v>19796.95</v>
      </c>
      <c r="O13" s="176">
        <v>15940</v>
      </c>
      <c r="P13" s="181">
        <v>13256.14</v>
      </c>
      <c r="Q13" s="176">
        <v>11294.9</v>
      </c>
      <c r="R13" s="270">
        <v>9808.3799999999992</v>
      </c>
      <c r="S13" s="259">
        <v>8649.14</v>
      </c>
      <c r="T13" s="177">
        <v>7724.17</v>
      </c>
      <c r="V13" s="286"/>
      <c r="W13" s="22">
        <f>W12-0.005</f>
        <v>3.7600000000000001E-2</v>
      </c>
      <c r="X13" s="227">
        <f>(L13-Evaluation!$C$16)/Evaluation!$C$10</f>
        <v>212.65965753806682</v>
      </c>
      <c r="Y13" s="237">
        <f>(M13-Evaluation!$C$16)/Evaluation!$C$10</f>
        <v>155.84460929220816</v>
      </c>
      <c r="Z13" s="248">
        <f>(N13-Evaluation!$C$16)/Evaluation!$C$10</f>
        <v>122.70595125216131</v>
      </c>
      <c r="AA13" s="228">
        <f>(O13-Evaluation!$C$16)/Evaluation!$C$10</f>
        <v>101.19359696580959</v>
      </c>
      <c r="AB13" s="229">
        <f>(P13-Evaluation!$C$16)/Evaluation!$C$10</f>
        <v>86.224217747782916</v>
      </c>
      <c r="AC13" s="228">
        <f>(Q13-Evaluation!$C$16)/Evaluation!$C$10</f>
        <v>75.285291985052154</v>
      </c>
      <c r="AD13" s="249">
        <f>(R13-Evaluation!$C$16)/Evaluation!$C$10</f>
        <v>66.994143566289253</v>
      </c>
      <c r="AE13" s="239">
        <f>(S13-Evaluation!$C$16)/Evaluation!$C$10</f>
        <v>60.528417647386917</v>
      </c>
      <c r="AF13" s="230">
        <f>(T13-Evaluation!$C$16)/Evaluation!$C$10</f>
        <v>55.369345752691174</v>
      </c>
    </row>
    <row r="14" spans="2:33" x14ac:dyDescent="0.25">
      <c r="B14" s="3" t="s">
        <v>482</v>
      </c>
      <c r="C14" s="37">
        <f>SUM(C12:C13)</f>
        <v>4.2599999999999999E-2</v>
      </c>
      <c r="F14" s="57"/>
      <c r="G14" s="57"/>
      <c r="H14" s="57"/>
      <c r="I14" s="57"/>
      <c r="J14" s="286"/>
      <c r="K14" s="22">
        <f t="shared" ref="K14:K16" si="6">K13-0.005</f>
        <v>3.2600000000000004E-2</v>
      </c>
      <c r="L14" s="175">
        <v>31231.47</v>
      </c>
      <c r="M14" s="257">
        <v>23249.27</v>
      </c>
      <c r="N14" s="273">
        <v>18308.07</v>
      </c>
      <c r="O14" s="274">
        <v>14977.71</v>
      </c>
      <c r="P14" s="275">
        <v>12599.58</v>
      </c>
      <c r="Q14" s="274">
        <v>10828.59</v>
      </c>
      <c r="R14" s="276">
        <v>9466.7800000000007</v>
      </c>
      <c r="S14" s="259">
        <v>8392.66</v>
      </c>
      <c r="T14" s="177">
        <v>7527.67</v>
      </c>
      <c r="V14" s="286"/>
      <c r="W14" s="22">
        <f t="shared" ref="W14:W16" si="7">W13-0.005</f>
        <v>3.2600000000000004E-2</v>
      </c>
      <c r="X14" s="227">
        <f>(L14-Evaluation!$C$16)/Evaluation!$C$10</f>
        <v>186.4826259133248</v>
      </c>
      <c r="Y14" s="237">
        <f>(M14-Evaluation!$C$16)/Evaluation!$C$10</f>
        <v>141.96145908862738</v>
      </c>
      <c r="Z14" s="252">
        <f>(N14-Evaluation!$C$16)/Evaluation!$C$10</f>
        <v>114.40163980143902</v>
      </c>
      <c r="AA14" s="256">
        <f>(O14-Evaluation!$C$16)/Evaluation!$C$10</f>
        <v>95.826370684366111</v>
      </c>
      <c r="AB14" s="253">
        <f>(P14-Evaluation!$C$16)/Evaluation!$C$10</f>
        <v>82.562217636231807</v>
      </c>
      <c r="AC14" s="256">
        <f>(Q14-Evaluation!$C$16)/Evaluation!$C$10</f>
        <v>72.684421886329417</v>
      </c>
      <c r="AD14" s="254">
        <f>(R14-Evaluation!$C$16)/Evaluation!$C$10</f>
        <v>65.088850465725926</v>
      </c>
      <c r="AE14" s="239">
        <f>(S14-Evaluation!$C$16)/Evaluation!$C$10</f>
        <v>59.097886106308216</v>
      </c>
      <c r="AF14" s="230">
        <f>(T14-Evaluation!$C$16)/Evaluation!$C$10</f>
        <v>54.273356015394057</v>
      </c>
    </row>
    <row r="15" spans="2:33" x14ac:dyDescent="0.25">
      <c r="E15" s="222" t="s">
        <v>490</v>
      </c>
      <c r="F15" s="217">
        <f>(F$12*(1+$C$17)/($C$16-$C$17))/(1+$C$16)</f>
        <v>14857.115506482762</v>
      </c>
      <c r="G15" s="217">
        <f t="shared" ref="G15:H15" si="8">(G$12*(1+$C$17)/($C$16-$C$17))/(1+$C$16)</f>
        <v>10337.908789409632</v>
      </c>
      <c r="H15" s="217">
        <f t="shared" si="8"/>
        <v>17302.307916317921</v>
      </c>
      <c r="I15" s="216"/>
      <c r="J15" s="286"/>
      <c r="K15" s="22">
        <f t="shared" si="6"/>
        <v>2.7600000000000003E-2</v>
      </c>
      <c r="L15" s="175">
        <v>27733.94</v>
      </c>
      <c r="M15" s="176">
        <v>21265.57</v>
      </c>
      <c r="N15" s="263">
        <v>17070.48</v>
      </c>
      <c r="O15" s="263">
        <v>14154.38</v>
      </c>
      <c r="P15" s="264">
        <v>12025.86</v>
      </c>
      <c r="Q15" s="263">
        <v>10414.530000000001</v>
      </c>
      <c r="R15" s="263">
        <v>9159.61</v>
      </c>
      <c r="S15" s="176">
        <v>8159.65</v>
      </c>
      <c r="T15" s="177">
        <v>7347.66</v>
      </c>
      <c r="V15" s="286"/>
      <c r="W15" s="22">
        <f t="shared" si="7"/>
        <v>2.7600000000000003E-2</v>
      </c>
      <c r="X15" s="227">
        <f>(L15-Evaluation!$C$16)/Evaluation!$C$10</f>
        <v>166.97495677394167</v>
      </c>
      <c r="Y15" s="228">
        <f>(M15-Evaluation!$C$16)/Evaluation!$C$10</f>
        <v>130.89726142004574</v>
      </c>
      <c r="Z15" s="243">
        <f>(N15-Evaluation!$C$16)/Evaluation!$C$10</f>
        <v>107.49891237659658</v>
      </c>
      <c r="AA15" s="243">
        <f>(O15-Evaluation!$C$16)/Evaluation!$C$10</f>
        <v>91.234201572870774</v>
      </c>
      <c r="AB15" s="244">
        <f>(P15-Evaluation!$C$16)/Evaluation!$C$10</f>
        <v>79.362262256679131</v>
      </c>
      <c r="AC15" s="243">
        <f>(Q15-Evaluation!$C$16)/Evaluation!$C$10</f>
        <v>70.374979084165332</v>
      </c>
      <c r="AD15" s="243">
        <f>(R15-Evaluation!$C$16)/Evaluation!$C$10</f>
        <v>63.375592615315973</v>
      </c>
      <c r="AE15" s="228">
        <f>(S15-Evaluation!$C$16)/Evaluation!$C$10</f>
        <v>57.798259802554519</v>
      </c>
      <c r="AF15" s="230">
        <f>(T15-Evaluation!$C$16)/Evaluation!$C$10</f>
        <v>53.269340175135255</v>
      </c>
    </row>
    <row r="16" spans="2:33" ht="15.75" thickBot="1" x14ac:dyDescent="0.3">
      <c r="B16" s="3" t="s">
        <v>497</v>
      </c>
      <c r="C16" s="22">
        <v>0.10685</v>
      </c>
      <c r="E16" s="221" t="s">
        <v>494</v>
      </c>
      <c r="F16" s="216">
        <f>(F$12*(1+$C$17)/($C$16-$C$17))/(1+$C$16)^DATEDIF(EOMONTH(Evaluation!$C$4,-12),$E$12,"Y")</f>
        <v>9898.7287164301943</v>
      </c>
      <c r="G16" s="216">
        <f>(G$12*(1+$C$17)/($C$16-$C$17))/(1+$C$16)^DATEDIF(EOMONTH(Evaluation!$C$4,-12),$E$12,"Y")</f>
        <v>6887.7538548390203</v>
      </c>
      <c r="H16" s="216">
        <f>(H$12*(1+$C$17)/($C$16-$C$17))/(1+$C$16)^DATEDIF(EOMONTH(Evaluation!$C$4,-12),$E$12,"Y")</f>
        <v>11527.86704505604</v>
      </c>
      <c r="I16" s="216"/>
      <c r="J16" s="286"/>
      <c r="K16" s="22">
        <f t="shared" si="6"/>
        <v>2.2600000000000002E-2</v>
      </c>
      <c r="L16" s="178">
        <v>25026.81</v>
      </c>
      <c r="M16" s="179">
        <v>19647.53</v>
      </c>
      <c r="N16" s="179">
        <v>16025.51</v>
      </c>
      <c r="O16" s="179">
        <v>13441.93</v>
      </c>
      <c r="P16" s="185">
        <v>11520.24</v>
      </c>
      <c r="Q16" s="179">
        <v>10044.41</v>
      </c>
      <c r="R16" s="179">
        <v>8881.9</v>
      </c>
      <c r="S16" s="179">
        <v>7947.04</v>
      </c>
      <c r="T16" s="180">
        <v>7182.12</v>
      </c>
      <c r="V16" s="286"/>
      <c r="W16" s="22">
        <f t="shared" si="7"/>
        <v>2.2600000000000002E-2</v>
      </c>
      <c r="X16" s="233">
        <f>(L16-Evaluation!$C$16)/Evaluation!$C$10</f>
        <v>151.875787829773</v>
      </c>
      <c r="Y16" s="234">
        <f>(M16-Evaluation!$C$16)/Evaluation!$C$10</f>
        <v>121.87255284734229</v>
      </c>
      <c r="Z16" s="234">
        <f>(N16-Evaluation!$C$16)/Evaluation!$C$10</f>
        <v>101.67053377210108</v>
      </c>
      <c r="AA16" s="234">
        <f>(O16-Evaluation!$C$16)/Evaluation!$C$10</f>
        <v>87.260471861230414</v>
      </c>
      <c r="AB16" s="235">
        <f>(P16-Evaluation!$C$16)/Evaluation!$C$10</f>
        <v>76.542138434937812</v>
      </c>
      <c r="AC16" s="234">
        <f>(Q16-Evaluation!$C$16)/Evaluation!$C$10</f>
        <v>68.310614088906249</v>
      </c>
      <c r="AD16" s="234">
        <f>(R16-Evaluation!$C$16)/Evaluation!$C$10</f>
        <v>61.826649562161862</v>
      </c>
      <c r="AE16" s="234">
        <f>(S16-Evaluation!$C$16)/Evaluation!$C$10</f>
        <v>56.612415639466796</v>
      </c>
      <c r="AF16" s="236">
        <f>(T16-Evaluation!$C$16)/Evaluation!$C$10</f>
        <v>52.346031568966474</v>
      </c>
    </row>
    <row r="17" spans="2:33" x14ac:dyDescent="0.25">
      <c r="B17" s="3" t="s">
        <v>498</v>
      </c>
      <c r="C17" s="22">
        <v>4.2599999999999999E-2</v>
      </c>
      <c r="F17" s="57"/>
      <c r="G17" s="57"/>
      <c r="H17" s="57"/>
      <c r="I17" s="57"/>
    </row>
    <row r="18" spans="2:33" x14ac:dyDescent="0.25">
      <c r="E18" s="94" t="s">
        <v>495</v>
      </c>
      <c r="F18" s="7"/>
      <c r="G18" s="207"/>
      <c r="H18" s="207"/>
      <c r="I18" s="57"/>
      <c r="J18" s="100"/>
      <c r="K18" s="100"/>
      <c r="L18" s="99" t="s">
        <v>368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</row>
    <row r="19" spans="2:33" x14ac:dyDescent="0.25">
      <c r="E19" s="3" t="s">
        <v>435</v>
      </c>
      <c r="F19" s="216">
        <f>F13+F16</f>
        <v>14014.894492940246</v>
      </c>
      <c r="G19" s="216">
        <f>G13+G16</f>
        <v>9994.6418125880737</v>
      </c>
      <c r="H19" s="216">
        <f>H13+H16</f>
        <v>16144.696869688363</v>
      </c>
      <c r="I19" s="216"/>
      <c r="L19" s="285" t="s">
        <v>480</v>
      </c>
      <c r="M19" s="285"/>
      <c r="N19" s="285"/>
      <c r="O19" s="285"/>
      <c r="P19" s="285"/>
      <c r="Q19" s="285"/>
      <c r="R19" s="285"/>
      <c r="S19" s="285"/>
      <c r="T19" s="285"/>
      <c r="X19" s="285" t="s">
        <v>480</v>
      </c>
      <c r="Y19" s="285"/>
      <c r="Z19" s="285"/>
      <c r="AA19" s="285"/>
      <c r="AB19" s="285"/>
      <c r="AC19" s="285"/>
      <c r="AD19" s="285"/>
      <c r="AE19" s="285"/>
      <c r="AF19" s="285"/>
    </row>
    <row r="20" spans="2:33" ht="15.75" thickBot="1" x14ac:dyDescent="0.3">
      <c r="E20" s="3" t="s">
        <v>433</v>
      </c>
      <c r="F20" s="216">
        <f>F19-Evaluation!$C$16</f>
        <v>16217.894492940246</v>
      </c>
      <c r="G20" s="216">
        <f>G19-Evaluation!$C$16</f>
        <v>12197.641812588074</v>
      </c>
      <c r="H20" s="216">
        <f>H19-Evaluation!$C$16</f>
        <v>18347.696869688363</v>
      </c>
      <c r="I20" s="216"/>
      <c r="K20" s="22"/>
      <c r="L20" s="22">
        <f ca="1">L7</f>
        <v>6.6850000000000021E-2</v>
      </c>
      <c r="M20" s="22">
        <f t="shared" ref="M20:T20" ca="1" si="9">M7</f>
        <v>7.6850000000000016E-2</v>
      </c>
      <c r="N20" s="22">
        <f t="shared" ca="1" si="9"/>
        <v>8.6850000000000011E-2</v>
      </c>
      <c r="O20" s="22">
        <f t="shared" ca="1" si="9"/>
        <v>9.6850000000000006E-2</v>
      </c>
      <c r="P20" s="81">
        <f t="shared" ca="1" si="9"/>
        <v>0.10685</v>
      </c>
      <c r="Q20" s="22">
        <f t="shared" ca="1" si="9"/>
        <v>0.11685</v>
      </c>
      <c r="R20" s="22">
        <f t="shared" ca="1" si="9"/>
        <v>0.12684999999999999</v>
      </c>
      <c r="S20" s="22">
        <f t="shared" ca="1" si="9"/>
        <v>0.13685</v>
      </c>
      <c r="T20" s="22">
        <f t="shared" ca="1" si="9"/>
        <v>0.14685000000000001</v>
      </c>
      <c r="W20" s="22"/>
      <c r="X20" s="22">
        <f ca="1">X7</f>
        <v>6.6850000000000021E-2</v>
      </c>
      <c r="Y20" s="22">
        <f t="shared" ref="Y20:AF20" ca="1" si="10">Y7</f>
        <v>7.6850000000000016E-2</v>
      </c>
      <c r="Z20" s="22">
        <f t="shared" ca="1" si="10"/>
        <v>8.6850000000000011E-2</v>
      </c>
      <c r="AA20" s="22">
        <f t="shared" ca="1" si="10"/>
        <v>9.6850000000000006E-2</v>
      </c>
      <c r="AB20" s="81">
        <f t="shared" ca="1" si="10"/>
        <v>0.10685</v>
      </c>
      <c r="AC20" s="22">
        <f t="shared" ca="1" si="10"/>
        <v>0.11685</v>
      </c>
      <c r="AD20" s="22">
        <f t="shared" ca="1" si="10"/>
        <v>0.12684999999999999</v>
      </c>
      <c r="AE20" s="22">
        <f t="shared" ca="1" si="10"/>
        <v>0.13685</v>
      </c>
      <c r="AF20" s="22">
        <f t="shared" ca="1" si="10"/>
        <v>0.14685000000000001</v>
      </c>
    </row>
    <row r="21" spans="2:33" x14ac:dyDescent="0.25">
      <c r="E21" s="3" t="s">
        <v>452</v>
      </c>
      <c r="F21" s="213">
        <f>F20/Evaluation!$C$10</f>
        <v>90.456213357913143</v>
      </c>
      <c r="G21" s="213">
        <f>G20/Evaluation!$C$10</f>
        <v>68.033029240828128</v>
      </c>
      <c r="H21" s="213">
        <f>H20/Evaluation!$C$10</f>
        <v>102.3353052021215</v>
      </c>
      <c r="I21" s="213"/>
      <c r="J21" s="286" t="s">
        <v>496</v>
      </c>
      <c r="K21" s="22">
        <f>K8</f>
        <v>6.2599999999999989E-2</v>
      </c>
      <c r="L21" s="172"/>
      <c r="M21" s="173">
        <v>45060.44</v>
      </c>
      <c r="N21" s="173">
        <v>25617.4</v>
      </c>
      <c r="O21" s="173">
        <v>17620.099999999999</v>
      </c>
      <c r="P21" s="184">
        <v>13299.6</v>
      </c>
      <c r="Q21" s="173">
        <v>10616.12</v>
      </c>
      <c r="R21" s="173">
        <v>8800.48</v>
      </c>
      <c r="S21" s="173">
        <v>7498.38</v>
      </c>
      <c r="T21" s="174">
        <v>6524.12</v>
      </c>
      <c r="V21" s="286" t="s">
        <v>496</v>
      </c>
      <c r="W21" s="22">
        <f>W8</f>
        <v>6.2599999999999989E-2</v>
      </c>
      <c r="X21" s="223"/>
      <c r="Y21" s="224">
        <f>(M21-Evaluation!$C$16)/Evaluation!$C$10</f>
        <v>263.61447933515535</v>
      </c>
      <c r="Z21" s="224">
        <f>(N21-Evaluation!$C$16)/Evaluation!$C$10</f>
        <v>155.1698365776117</v>
      </c>
      <c r="AA21" s="224">
        <f>(O21-Evaluation!$C$16)/Evaluation!$C$10</f>
        <v>110.5644486585978</v>
      </c>
      <c r="AB21" s="225">
        <f>(P21-Evaluation!$C$16)/Evaluation!$C$10</f>
        <v>86.466618327848749</v>
      </c>
      <c r="AC21" s="224">
        <f>(Q21-Evaluation!$C$16)/Evaluation!$C$10</f>
        <v>71.499358581069785</v>
      </c>
      <c r="AD21" s="224">
        <f>(R21-Evaluation!$C$16)/Evaluation!$C$10</f>
        <v>61.372524959562718</v>
      </c>
      <c r="AE21" s="224">
        <f>(S21-Evaluation!$C$16)/Evaluation!$C$10</f>
        <v>54.10998940264377</v>
      </c>
      <c r="AF21" s="226">
        <f>(T21-Evaluation!$C$16)/Evaluation!$C$10</f>
        <v>48.675999776897761</v>
      </c>
    </row>
    <row r="22" spans="2:33" x14ac:dyDescent="0.25">
      <c r="J22" s="286"/>
      <c r="K22" s="22">
        <f t="shared" ref="K22:K29" si="11">K9</f>
        <v>5.7599999999999991E-2</v>
      </c>
      <c r="L22" s="175">
        <v>73630.759999999995</v>
      </c>
      <c r="M22" s="176">
        <v>34094.44</v>
      </c>
      <c r="N22" s="261">
        <v>21715.040000000001</v>
      </c>
      <c r="O22" s="261">
        <v>15723.98</v>
      </c>
      <c r="P22" s="262">
        <v>12221.71</v>
      </c>
      <c r="Q22" s="261">
        <v>9942.14</v>
      </c>
      <c r="R22" s="261">
        <v>8351.11</v>
      </c>
      <c r="S22" s="176">
        <v>7184.57</v>
      </c>
      <c r="T22" s="177">
        <v>6297.16</v>
      </c>
      <c r="V22" s="286"/>
      <c r="W22" s="22">
        <f t="shared" ref="W22:W29" si="12">W9</f>
        <v>5.7599999999999991E-2</v>
      </c>
      <c r="X22" s="227">
        <f>(L22-Evaluation!$C$16)/Evaluation!$C$10</f>
        <v>422.96703664454236</v>
      </c>
      <c r="Y22" s="228">
        <f>(M22-Evaluation!$C$16)/Evaluation!$C$10</f>
        <v>202.45100117128678</v>
      </c>
      <c r="Z22" s="241">
        <f>(N22-Evaluation!$C$16)/Evaluation!$C$10</f>
        <v>133.40420547715991</v>
      </c>
      <c r="AA22" s="241">
        <f>(O22-Evaluation!$C$16)/Evaluation!$C$10</f>
        <v>99.988733337051713</v>
      </c>
      <c r="AB22" s="242">
        <f>(P22-Evaluation!$C$16)/Evaluation!$C$10</f>
        <v>80.454626582631491</v>
      </c>
      <c r="AC22" s="241">
        <f>(Q22-Evaluation!$C$16)/Evaluation!$C$10</f>
        <v>67.740197445479396</v>
      </c>
      <c r="AD22" s="241">
        <f>(R22-Evaluation!$C$16)/Evaluation!$C$10</f>
        <v>58.86613865804005</v>
      </c>
      <c r="AE22" s="228">
        <f>(S22-Evaluation!$C$16)/Evaluation!$C$10</f>
        <v>52.359696580958222</v>
      </c>
      <c r="AF22" s="230">
        <f>(T22-Evaluation!$C$16)/Evaluation!$C$10</f>
        <v>47.410117686429807</v>
      </c>
    </row>
    <row r="23" spans="2:33" x14ac:dyDescent="0.25">
      <c r="J23" s="286"/>
      <c r="K23" s="22">
        <f t="shared" si="11"/>
        <v>5.2599999999999994E-2</v>
      </c>
      <c r="L23" s="175">
        <v>48810.64</v>
      </c>
      <c r="M23" s="257">
        <v>27650.5</v>
      </c>
      <c r="N23" s="265">
        <v>18952.060000000001</v>
      </c>
      <c r="O23" s="266">
        <v>14256.36</v>
      </c>
      <c r="P23" s="267">
        <v>11342.51</v>
      </c>
      <c r="Q23" s="266">
        <v>9373.06</v>
      </c>
      <c r="R23" s="268">
        <v>7962.26</v>
      </c>
      <c r="S23" s="259">
        <v>6908</v>
      </c>
      <c r="T23" s="177">
        <v>6094.27</v>
      </c>
      <c r="V23" s="286"/>
      <c r="W23" s="22">
        <f t="shared" si="12"/>
        <v>5.2599999999999994E-2</v>
      </c>
      <c r="X23" s="227">
        <f>(L23-Evaluation!$C$16)/Evaluation!$C$10</f>
        <v>284.531429527581</v>
      </c>
      <c r="Y23" s="237">
        <f>(M23-Evaluation!$C$16)/Evaluation!$C$10</f>
        <v>166.50956550839422</v>
      </c>
      <c r="Z23" s="245">
        <f>(N23-Evaluation!$C$16)/Evaluation!$C$10</f>
        <v>117.99353003513862</v>
      </c>
      <c r="AA23" s="255">
        <f>(O23-Evaluation!$C$16)/Evaluation!$C$10</f>
        <v>91.803000725082271</v>
      </c>
      <c r="AB23" s="246">
        <f>(P23-Evaluation!$C$16)/Evaluation!$C$10</f>
        <v>75.550839422165211</v>
      </c>
      <c r="AC23" s="255">
        <f>(Q23-Evaluation!$C$16)/Evaluation!$C$10</f>
        <v>64.5661219253723</v>
      </c>
      <c r="AD23" s="247">
        <f>(R23-Evaluation!$C$16)/Evaluation!$C$10</f>
        <v>56.697306040493061</v>
      </c>
      <c r="AE23" s="239">
        <f>(S23-Evaluation!$C$16)/Evaluation!$C$10</f>
        <v>50.817111941547218</v>
      </c>
      <c r="AF23" s="230">
        <f>(T23-Evaluation!$C$16)/Evaluation!$C$10</f>
        <v>46.278487366835854</v>
      </c>
    </row>
    <row r="24" spans="2:33" x14ac:dyDescent="0.25">
      <c r="J24" s="286"/>
      <c r="K24" s="22">
        <f t="shared" si="11"/>
        <v>4.7599999999999996E-2</v>
      </c>
      <c r="L24" s="175">
        <v>36884.089999999997</v>
      </c>
      <c r="M24" s="257">
        <v>23409.62</v>
      </c>
      <c r="N24" s="269">
        <v>16893.03</v>
      </c>
      <c r="O24" s="176">
        <v>13086.74</v>
      </c>
      <c r="P24" s="181">
        <v>10611.71</v>
      </c>
      <c r="Q24" s="176">
        <v>8886.15</v>
      </c>
      <c r="R24" s="270">
        <v>7622.48</v>
      </c>
      <c r="S24" s="259">
        <v>6662.43</v>
      </c>
      <c r="T24" s="177">
        <v>5911.84</v>
      </c>
      <c r="V24" s="286"/>
      <c r="W24" s="22">
        <f t="shared" si="12"/>
        <v>4.7599999999999996E-2</v>
      </c>
      <c r="X24" s="227">
        <f>(L24-Evaluation!$C$16)/Evaluation!$C$10</f>
        <v>218.01043002956104</v>
      </c>
      <c r="Y24" s="237">
        <f>(M24-Evaluation!$C$16)/Evaluation!$C$10</f>
        <v>142.85582017959729</v>
      </c>
      <c r="Z24" s="248">
        <f>(N24-Evaluation!$C$16)/Evaluation!$C$10</f>
        <v>106.50917507948017</v>
      </c>
      <c r="AA24" s="228">
        <f>(O24-Evaluation!$C$16)/Evaluation!$C$10</f>
        <v>85.27937977578226</v>
      </c>
      <c r="AB24" s="229">
        <f>(P24-Evaluation!$C$16)/Evaluation!$C$10</f>
        <v>71.474761559484634</v>
      </c>
      <c r="AC24" s="228">
        <f>(Q24-Evaluation!$C$16)/Evaluation!$C$10</f>
        <v>61.8503541748006</v>
      </c>
      <c r="AD24" s="249">
        <f>(R24-Evaluation!$C$16)/Evaluation!$C$10</f>
        <v>54.802164091695019</v>
      </c>
      <c r="AE24" s="239">
        <f>(S24-Evaluation!$C$16)/Evaluation!$C$10</f>
        <v>49.447431535501146</v>
      </c>
      <c r="AF24" s="230">
        <f>(T24-Evaluation!$C$16)/Evaluation!$C$10</f>
        <v>45.260973841262761</v>
      </c>
    </row>
    <row r="25" spans="2:33" x14ac:dyDescent="0.25">
      <c r="J25" s="286"/>
      <c r="K25" s="81">
        <f t="shared" si="11"/>
        <v>4.2599999999999999E-2</v>
      </c>
      <c r="L25" s="182">
        <v>29875.7</v>
      </c>
      <c r="M25" s="258">
        <v>20406.95</v>
      </c>
      <c r="N25" s="271">
        <v>15299.31</v>
      </c>
      <c r="O25" s="181">
        <v>12132.72</v>
      </c>
      <c r="P25" s="181">
        <v>9994.64</v>
      </c>
      <c r="Q25" s="181">
        <v>8464.82</v>
      </c>
      <c r="R25" s="272">
        <v>7323.03</v>
      </c>
      <c r="S25" s="260">
        <v>6442.91</v>
      </c>
      <c r="T25" s="183">
        <v>5746.9</v>
      </c>
      <c r="V25" s="286"/>
      <c r="W25" s="81">
        <f t="shared" si="12"/>
        <v>4.2599999999999999E-2</v>
      </c>
      <c r="X25" s="231">
        <f>(L25-Evaluation!$C$16)/Evaluation!$C$10</f>
        <v>178.92074293044789</v>
      </c>
      <c r="Y25" s="238">
        <f>(M25-Evaluation!$C$16)/Evaluation!$C$10</f>
        <v>126.10826036031013</v>
      </c>
      <c r="Z25" s="250">
        <f>(N25-Evaluation!$C$16)/Evaluation!$C$10</f>
        <v>97.620112666629481</v>
      </c>
      <c r="AA25" s="229">
        <f>(O25-Evaluation!$C$16)/Evaluation!$C$10</f>
        <v>79.958279881755814</v>
      </c>
      <c r="AB25" s="229">
        <f>(P25-Evaluation!$C$16)/Evaluation!$C$10</f>
        <v>68.033019131016786</v>
      </c>
      <c r="AC25" s="229">
        <f>(Q25-Evaluation!$C$16)/Evaluation!$C$10</f>
        <v>59.500362541134479</v>
      </c>
      <c r="AD25" s="251">
        <f>(R25-Evaluation!$C$16)/Evaluation!$C$10</f>
        <v>53.13196497294885</v>
      </c>
      <c r="AE25" s="240">
        <f>(S25-Evaluation!$C$16)/Evaluation!$C$10</f>
        <v>48.223046461040774</v>
      </c>
      <c r="AF25" s="232">
        <f>(T25-Evaluation!$C$16)/Evaluation!$C$10</f>
        <v>44.341011768642979</v>
      </c>
    </row>
    <row r="26" spans="2:33" x14ac:dyDescent="0.25">
      <c r="J26" s="286"/>
      <c r="K26" s="22">
        <f t="shared" si="11"/>
        <v>3.7600000000000001E-2</v>
      </c>
      <c r="L26" s="175">
        <v>25263.34</v>
      </c>
      <c r="M26" s="257">
        <v>18169.3</v>
      </c>
      <c r="N26" s="269">
        <v>14029.19</v>
      </c>
      <c r="O26" s="176">
        <v>11339.71</v>
      </c>
      <c r="P26" s="181">
        <v>9466.68</v>
      </c>
      <c r="Q26" s="176">
        <v>8096.66</v>
      </c>
      <c r="R26" s="270">
        <v>7057.13</v>
      </c>
      <c r="S26" s="259">
        <v>6245.51</v>
      </c>
      <c r="T26" s="177">
        <v>5597.05</v>
      </c>
      <c r="V26" s="286"/>
      <c r="W26" s="22">
        <f t="shared" si="12"/>
        <v>3.7600000000000001E-2</v>
      </c>
      <c r="X26" s="227">
        <f>(L26-Evaluation!$C$16)/Evaluation!$C$10</f>
        <v>153.19504713034749</v>
      </c>
      <c r="Y26" s="237">
        <f>(M26-Evaluation!$C$16)/Evaluation!$C$10</f>
        <v>113.62764236711473</v>
      </c>
      <c r="Z26" s="248">
        <f>(N26-Evaluation!$C$16)/Evaluation!$C$10</f>
        <v>90.535947347872167</v>
      </c>
      <c r="AA26" s="228">
        <f>(O26-Evaluation!$C$16)/Evaluation!$C$10</f>
        <v>75.53522226560321</v>
      </c>
      <c r="AB26" s="229">
        <f>(P26-Evaluation!$C$16)/Evaluation!$C$10</f>
        <v>65.088292710134425</v>
      </c>
      <c r="AC26" s="228">
        <f>(Q26-Evaluation!$C$16)/Evaluation!$C$10</f>
        <v>57.446929555468799</v>
      </c>
      <c r="AD26" s="249">
        <f>(R26-Evaluation!$C$16)/Evaluation!$C$10</f>
        <v>51.648892855150883</v>
      </c>
      <c r="AE26" s="239">
        <f>(S26-Evaluation!$C$16)/Evaluation!$C$10</f>
        <v>47.122036923420161</v>
      </c>
      <c r="AF26" s="230">
        <f>(T26-Evaluation!$C$16)/Evaluation!$C$10</f>
        <v>43.505215014780525</v>
      </c>
    </row>
    <row r="27" spans="2:33" x14ac:dyDescent="0.25">
      <c r="J27" s="286"/>
      <c r="K27" s="22">
        <f t="shared" si="11"/>
        <v>3.2600000000000004E-2</v>
      </c>
      <c r="L27" s="175">
        <v>21997.66</v>
      </c>
      <c r="M27" s="257">
        <v>16437.32</v>
      </c>
      <c r="N27" s="273">
        <v>12993.19</v>
      </c>
      <c r="O27" s="274">
        <v>10670.13</v>
      </c>
      <c r="P27" s="275">
        <v>9009.83</v>
      </c>
      <c r="Q27" s="274">
        <v>7772.19</v>
      </c>
      <c r="R27" s="276">
        <v>6819.44</v>
      </c>
      <c r="S27" s="259">
        <v>6067.04</v>
      </c>
      <c r="T27" s="177">
        <v>5460.33</v>
      </c>
      <c r="V27" s="286"/>
      <c r="W27" s="22">
        <f t="shared" si="12"/>
        <v>3.2600000000000004E-2</v>
      </c>
      <c r="X27" s="227">
        <f>(L27-Evaluation!$C$16)/Evaluation!$C$10</f>
        <v>134.98053432985665</v>
      </c>
      <c r="Y27" s="237">
        <f>(M27-Evaluation!$C$16)/Evaluation!$C$10</f>
        <v>103.96742707345642</v>
      </c>
      <c r="Z27" s="252">
        <f>(N27-Evaluation!$C$16)/Evaluation!$C$10</f>
        <v>84.757599419934195</v>
      </c>
      <c r="AA27" s="256">
        <f>(O27-Evaluation!$C$16)/Evaluation!$C$10</f>
        <v>71.800602376038825</v>
      </c>
      <c r="AB27" s="253">
        <f>(P27-Evaluation!$C$16)/Evaluation!$C$10</f>
        <v>62.540186290367565</v>
      </c>
      <c r="AC27" s="256">
        <f>(Q27-Evaluation!$C$16)/Evaluation!$C$10</f>
        <v>55.637179987729375</v>
      </c>
      <c r="AD27" s="254">
        <f>(R27-Evaluation!$C$16)/Evaluation!$C$10</f>
        <v>50.32316358971498</v>
      </c>
      <c r="AE27" s="239">
        <f>(S27-Evaluation!$C$16)/Evaluation!$C$10</f>
        <v>46.126610519270464</v>
      </c>
      <c r="AF27" s="230">
        <f>(T27-Evaluation!$C$16)/Evaluation!$C$10</f>
        <v>42.742651570081989</v>
      </c>
    </row>
    <row r="28" spans="2:33" x14ac:dyDescent="0.25">
      <c r="J28" s="286"/>
      <c r="K28" s="22">
        <f t="shared" si="11"/>
        <v>2.7600000000000003E-2</v>
      </c>
      <c r="L28" s="175">
        <v>19564</v>
      </c>
      <c r="M28" s="176">
        <v>15057.02</v>
      </c>
      <c r="N28" s="263">
        <v>12132.05</v>
      </c>
      <c r="O28" s="263">
        <v>10097.23</v>
      </c>
      <c r="P28" s="264">
        <v>8610.6299999999992</v>
      </c>
      <c r="Q28" s="263">
        <v>7484.08</v>
      </c>
      <c r="R28" s="263">
        <v>6605.71</v>
      </c>
      <c r="S28" s="176">
        <v>5904.91</v>
      </c>
      <c r="T28" s="177">
        <v>5335.07</v>
      </c>
      <c r="V28" s="286"/>
      <c r="W28" s="22">
        <f t="shared" si="12"/>
        <v>2.7600000000000003E-2</v>
      </c>
      <c r="X28" s="227">
        <f>(L28-Evaluation!$C$16)/Evaluation!$C$10</f>
        <v>121.40665960176251</v>
      </c>
      <c r="Y28" s="228">
        <f>(M28-Evaluation!$C$16)/Evaluation!$C$10</f>
        <v>96.268726643984607</v>
      </c>
      <c r="Z28" s="243">
        <f>(N28-Evaluation!$C$16)/Evaluation!$C$10</f>
        <v>79.954542919292763</v>
      </c>
      <c r="AA28" s="243">
        <f>(O28-Evaluation!$C$16)/Evaluation!$C$10</f>
        <v>68.605220592336437</v>
      </c>
      <c r="AB28" s="244">
        <f>(P28-Evaluation!$C$16)/Evaluation!$C$10</f>
        <v>60.313625969100336</v>
      </c>
      <c r="AC28" s="243">
        <f>(Q28-Evaluation!$C$16)/Evaluation!$C$10</f>
        <v>54.030230353059288</v>
      </c>
      <c r="AD28" s="243">
        <f>(R28-Evaluation!$C$16)/Evaluation!$C$10</f>
        <v>49.131072564002451</v>
      </c>
      <c r="AE28" s="228">
        <f>(S28-Evaluation!$C$16)/Evaluation!$C$10</f>
        <v>45.222321378771824</v>
      </c>
      <c r="AF28" s="230">
        <f>(T28-Evaluation!$C$16)/Evaluation!$C$10</f>
        <v>42.044006916169337</v>
      </c>
    </row>
    <row r="29" spans="2:33" ht="15.75" thickBot="1" x14ac:dyDescent="0.3">
      <c r="J29" s="286"/>
      <c r="K29" s="22">
        <f t="shared" si="11"/>
        <v>2.2600000000000002E-2</v>
      </c>
      <c r="L29" s="178">
        <v>17680.32</v>
      </c>
      <c r="M29" s="179">
        <v>13931.15</v>
      </c>
      <c r="N29" s="179">
        <v>11404.93</v>
      </c>
      <c r="O29" s="179">
        <v>9601.5</v>
      </c>
      <c r="P29" s="185">
        <v>8258.81</v>
      </c>
      <c r="Q29" s="179">
        <v>7226.54</v>
      </c>
      <c r="R29" s="179">
        <v>6412.47</v>
      </c>
      <c r="S29" s="179">
        <v>5756.97</v>
      </c>
      <c r="T29" s="180">
        <v>5219.8900000000003</v>
      </c>
      <c r="V29" s="286"/>
      <c r="W29" s="22">
        <f t="shared" si="12"/>
        <v>2.2600000000000002E-2</v>
      </c>
      <c r="X29" s="233">
        <f>(L29-Evaluation!$C$16)/Evaluation!$C$10</f>
        <v>110.90032907579899</v>
      </c>
      <c r="Y29" s="234">
        <f>(M29-Evaluation!$C$16)/Evaluation!$C$10</f>
        <v>89.989123765965758</v>
      </c>
      <c r="Z29" s="234">
        <f>(N29-Evaluation!$C$16)/Evaluation!$C$10</f>
        <v>75.898990462379388</v>
      </c>
      <c r="AA29" s="234">
        <f>(O29-Evaluation!$C$16)/Evaluation!$C$10</f>
        <v>65.840258798594462</v>
      </c>
      <c r="AB29" s="235">
        <f>(P29-Evaluation!$C$16)/Evaluation!$C$10</f>
        <v>58.351330247085727</v>
      </c>
      <c r="AC29" s="234">
        <f>(Q29-Evaluation!$C$16)/Evaluation!$C$10</f>
        <v>52.593786602710701</v>
      </c>
      <c r="AD29" s="234">
        <f>(R29-Evaluation!$C$16)/Evaluation!$C$10</f>
        <v>48.053265658988238</v>
      </c>
      <c r="AE29" s="234">
        <f>(S29-Evaluation!$C$16)/Evaluation!$C$10</f>
        <v>44.397177756707016</v>
      </c>
      <c r="AF29" s="236">
        <f>(T29-Evaluation!$C$16)/Evaluation!$C$10</f>
        <v>41.401584025879863</v>
      </c>
    </row>
    <row r="31" spans="2:33" x14ac:dyDescent="0.25">
      <c r="J31" s="100"/>
      <c r="K31" s="100"/>
      <c r="L31" s="99" t="s">
        <v>373</v>
      </c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</row>
    <row r="32" spans="2:33" x14ac:dyDescent="0.25">
      <c r="L32" s="285" t="s">
        <v>480</v>
      </c>
      <c r="M32" s="285"/>
      <c r="N32" s="285"/>
      <c r="O32" s="285"/>
      <c r="P32" s="285"/>
      <c r="Q32" s="285"/>
      <c r="R32" s="285"/>
      <c r="S32" s="285"/>
      <c r="T32" s="285"/>
      <c r="X32" s="285" t="s">
        <v>480</v>
      </c>
      <c r="Y32" s="285"/>
      <c r="Z32" s="285"/>
      <c r="AA32" s="285"/>
      <c r="AB32" s="285"/>
      <c r="AC32" s="285"/>
      <c r="AD32" s="285"/>
      <c r="AE32" s="285"/>
      <c r="AF32" s="285"/>
    </row>
    <row r="33" spans="10:32" ht="15.75" thickBot="1" x14ac:dyDescent="0.3">
      <c r="K33" s="22"/>
      <c r="L33" s="22">
        <f ca="1">L20</f>
        <v>6.6850000000000021E-2</v>
      </c>
      <c r="M33" s="22">
        <f t="shared" ref="M33:T33" ca="1" si="13">M20</f>
        <v>7.6850000000000016E-2</v>
      </c>
      <c r="N33" s="22">
        <f t="shared" ca="1" si="13"/>
        <v>8.6850000000000011E-2</v>
      </c>
      <c r="O33" s="22">
        <f t="shared" ca="1" si="13"/>
        <v>9.6850000000000006E-2</v>
      </c>
      <c r="P33" s="81">
        <f t="shared" ca="1" si="13"/>
        <v>0.10685</v>
      </c>
      <c r="Q33" s="22">
        <f t="shared" ca="1" si="13"/>
        <v>0.11685</v>
      </c>
      <c r="R33" s="22">
        <f t="shared" ca="1" si="13"/>
        <v>0.12684999999999999</v>
      </c>
      <c r="S33" s="22">
        <f t="shared" ca="1" si="13"/>
        <v>0.13685</v>
      </c>
      <c r="T33" s="22">
        <f t="shared" ca="1" si="13"/>
        <v>0.14685000000000001</v>
      </c>
      <c r="W33" s="22"/>
      <c r="X33" s="22">
        <f ca="1">X20</f>
        <v>6.6850000000000021E-2</v>
      </c>
      <c r="Y33" s="22">
        <f t="shared" ref="Y33:AF33" ca="1" si="14">Y20</f>
        <v>7.6850000000000016E-2</v>
      </c>
      <c r="Z33" s="22">
        <f t="shared" ca="1" si="14"/>
        <v>8.6850000000000011E-2</v>
      </c>
      <c r="AA33" s="22">
        <f t="shared" ca="1" si="14"/>
        <v>9.6850000000000006E-2</v>
      </c>
      <c r="AB33" s="81">
        <f t="shared" ca="1" si="14"/>
        <v>0.10685</v>
      </c>
      <c r="AC33" s="22">
        <f t="shared" ca="1" si="14"/>
        <v>0.11685</v>
      </c>
      <c r="AD33" s="22">
        <f t="shared" ca="1" si="14"/>
        <v>0.12684999999999999</v>
      </c>
      <c r="AE33" s="22">
        <f t="shared" ca="1" si="14"/>
        <v>0.13685</v>
      </c>
      <c r="AF33" s="22">
        <f t="shared" ca="1" si="14"/>
        <v>0.14685000000000001</v>
      </c>
    </row>
    <row r="34" spans="10:32" x14ac:dyDescent="0.25">
      <c r="J34" s="286" t="s">
        <v>496</v>
      </c>
      <c r="K34" s="22">
        <f>K21</f>
        <v>6.2599999999999989E-2</v>
      </c>
      <c r="L34" s="172"/>
      <c r="M34" s="173">
        <v>74792.31</v>
      </c>
      <c r="N34" s="173">
        <v>42265.16</v>
      </c>
      <c r="O34" s="173">
        <v>28893.99</v>
      </c>
      <c r="P34" s="184">
        <v>21676.12</v>
      </c>
      <c r="Q34" s="173">
        <v>17197.66</v>
      </c>
      <c r="R34" s="173">
        <v>14171.24</v>
      </c>
      <c r="S34" s="173">
        <v>12003.91</v>
      </c>
      <c r="T34" s="174">
        <v>10384.9</v>
      </c>
      <c r="V34" s="286" t="s">
        <v>496</v>
      </c>
      <c r="W34" s="22">
        <f>W21</f>
        <v>6.2599999999999989E-2</v>
      </c>
      <c r="X34" s="223"/>
      <c r="Y34" s="224">
        <f>(M34-Evaluation!$C$16)/Evaluation!$C$10</f>
        <v>429.44564671760833</v>
      </c>
      <c r="Z34" s="224">
        <f>(N34-Evaluation!$C$16)/Evaluation!$C$10</f>
        <v>248.02364883707963</v>
      </c>
      <c r="AA34" s="224">
        <f>(O34-Evaluation!$C$16)/Evaluation!$C$10</f>
        <v>173.44520051313515</v>
      </c>
      <c r="AB34" s="225">
        <f>(P34-Evaluation!$C$16)/Evaluation!$C$10</f>
        <v>133.18712700094818</v>
      </c>
      <c r="AC34" s="224">
        <f>(Q34-Evaluation!$C$16)/Evaluation!$C$10</f>
        <v>108.20826593786603</v>
      </c>
      <c r="AD34" s="224">
        <f>(R34-Evaluation!$C$16)/Evaluation!$C$10</f>
        <v>91.328239165597637</v>
      </c>
      <c r="AE34" s="224">
        <f>(S34-Evaluation!$C$16)/Evaluation!$C$10</f>
        <v>79.239834904344917</v>
      </c>
      <c r="AF34" s="226">
        <f>(T34-Evaluation!$C$16)/Evaluation!$C$10</f>
        <v>70.209716102403931</v>
      </c>
    </row>
    <row r="35" spans="10:32" x14ac:dyDescent="0.25">
      <c r="J35" s="286"/>
      <c r="K35" s="22">
        <f t="shared" ref="K35:K42" si="15">K22</f>
        <v>5.7599999999999991E-2</v>
      </c>
      <c r="L35" s="175">
        <v>122595.04</v>
      </c>
      <c r="M35" s="176">
        <v>56438.78</v>
      </c>
      <c r="N35" s="261">
        <v>35733.89</v>
      </c>
      <c r="O35" s="261">
        <v>25720.5</v>
      </c>
      <c r="P35" s="262">
        <v>19872.09</v>
      </c>
      <c r="Q35" s="261">
        <v>16069.63</v>
      </c>
      <c r="R35" s="261">
        <v>13419.14</v>
      </c>
      <c r="S35" s="176">
        <v>11478.7</v>
      </c>
      <c r="T35" s="177">
        <v>10005.040000000001</v>
      </c>
      <c r="V35" s="286"/>
      <c r="W35" s="22">
        <f t="shared" ref="W35:W42" si="16">W22</f>
        <v>5.7599999999999991E-2</v>
      </c>
      <c r="X35" s="227">
        <f>(L35-Evaluation!$C$16)/Evaluation!$C$10</f>
        <v>696.06804618216302</v>
      </c>
      <c r="Y35" s="228">
        <f>(M35-Evaluation!$C$16)/Evaluation!$C$10</f>
        <v>327.07780690501426</v>
      </c>
      <c r="Z35" s="241">
        <f>(N35-Evaluation!$C$16)/Evaluation!$C$10</f>
        <v>211.5951252161303</v>
      </c>
      <c r="AA35" s="241">
        <f>(O35-Evaluation!$C$16)/Evaluation!$C$10</f>
        <v>155.74488259244799</v>
      </c>
      <c r="AB35" s="242">
        <f>(P35-Evaluation!$C$16)/Evaluation!$C$10</f>
        <v>123.12504880361426</v>
      </c>
      <c r="AC35" s="241">
        <f>(Q35-Evaluation!$C$16)/Evaluation!$C$10</f>
        <v>101.91661553907078</v>
      </c>
      <c r="AD35" s="241">
        <f>(R35-Evaluation!$C$16)/Evaluation!$C$10</f>
        <v>87.133359361927603</v>
      </c>
      <c r="AE35" s="228">
        <f>(S35-Evaluation!$C$16)/Evaluation!$C$10</f>
        <v>76.310446762228793</v>
      </c>
      <c r="AF35" s="230">
        <f>(T35-Evaluation!$C$16)/Evaluation!$C$10</f>
        <v>68.091025712532783</v>
      </c>
    </row>
    <row r="36" spans="10:32" x14ac:dyDescent="0.25">
      <c r="J36" s="286"/>
      <c r="K36" s="22">
        <f t="shared" si="15"/>
        <v>5.2599999999999994E-2</v>
      </c>
      <c r="L36" s="175">
        <v>81054.210000000006</v>
      </c>
      <c r="M36" s="257">
        <v>45653.72</v>
      </c>
      <c r="N36" s="265">
        <v>31109.55</v>
      </c>
      <c r="O36" s="266">
        <v>23264.19</v>
      </c>
      <c r="P36" s="267">
        <v>18400.599999999999</v>
      </c>
      <c r="Q36" s="266">
        <v>15117.17</v>
      </c>
      <c r="R36" s="268">
        <v>12768.34</v>
      </c>
      <c r="S36" s="259">
        <v>11015.82</v>
      </c>
      <c r="T36" s="177">
        <v>9665.49</v>
      </c>
      <c r="V36" s="286"/>
      <c r="W36" s="22">
        <f t="shared" si="16"/>
        <v>5.2599999999999994E-2</v>
      </c>
      <c r="X36" s="227">
        <f>(L36-Evaluation!$C$16)/Evaluation!$C$10</f>
        <v>464.37174410173469</v>
      </c>
      <c r="Y36" s="237">
        <f>(M36-Evaluation!$C$16)/Evaluation!$C$10</f>
        <v>266.92353170840539</v>
      </c>
      <c r="Z36" s="245">
        <f>(N36-Evaluation!$C$16)/Evaluation!$C$10</f>
        <v>185.80261029616824</v>
      </c>
      <c r="AA36" s="255">
        <f>(O36-Evaluation!$C$16)/Evaluation!$C$10</f>
        <v>142.04467622287913</v>
      </c>
      <c r="AB36" s="246">
        <f>(P36-Evaluation!$C$16)/Evaluation!$C$10</f>
        <v>114.91773105025378</v>
      </c>
      <c r="AC36" s="255">
        <f>(Q36-Evaluation!$C$16)/Evaluation!$C$10</f>
        <v>96.604216632271729</v>
      </c>
      <c r="AD36" s="247">
        <f>(R36-Evaluation!$C$16)/Evaluation!$C$10</f>
        <v>83.503485972446882</v>
      </c>
      <c r="AE36" s="239">
        <f>(S36-Evaluation!$C$16)/Evaluation!$C$10</f>
        <v>73.728707680294491</v>
      </c>
      <c r="AF36" s="230">
        <f>(T36-Evaluation!$C$16)/Evaluation!$C$10</f>
        <v>66.197166601595185</v>
      </c>
    </row>
    <row r="37" spans="10:32" x14ac:dyDescent="0.25">
      <c r="J37" s="286"/>
      <c r="K37" s="22">
        <f t="shared" si="15"/>
        <v>4.7599999999999996E-2</v>
      </c>
      <c r="L37" s="175">
        <v>61093.03</v>
      </c>
      <c r="M37" s="257">
        <v>38555.86</v>
      </c>
      <c r="N37" s="269">
        <v>27663.39</v>
      </c>
      <c r="O37" s="176">
        <v>21306.62</v>
      </c>
      <c r="P37" s="181">
        <v>17177.46</v>
      </c>
      <c r="Q37" s="176">
        <v>14302.25</v>
      </c>
      <c r="R37" s="270">
        <v>12199.66</v>
      </c>
      <c r="S37" s="259">
        <v>10604.81</v>
      </c>
      <c r="T37" s="177">
        <v>9360.14</v>
      </c>
      <c r="V37" s="286"/>
      <c r="W37" s="22">
        <f t="shared" si="16"/>
        <v>4.7599999999999996E-2</v>
      </c>
      <c r="X37" s="227">
        <f>(L37-Evaluation!$C$16)/Evaluation!$C$10</f>
        <v>353.03714652239387</v>
      </c>
      <c r="Y37" s="237">
        <f>(M37-Evaluation!$C$16)/Evaluation!$C$10</f>
        <v>227.33482068157736</v>
      </c>
      <c r="Z37" s="248">
        <f>(N37-Evaluation!$C$16)/Evaluation!$C$10</f>
        <v>166.58146020413855</v>
      </c>
      <c r="AA37" s="228">
        <f>(O37-Evaluation!$C$16)/Evaluation!$C$10</f>
        <v>131.12622009035641</v>
      </c>
      <c r="AB37" s="229">
        <f>(P37-Evaluation!$C$16)/Evaluation!$C$10</f>
        <v>108.09559930838307</v>
      </c>
      <c r="AC37" s="228">
        <f>(Q37-Evaluation!$C$16)/Evaluation!$C$10</f>
        <v>92.058954766021529</v>
      </c>
      <c r="AD37" s="249">
        <f>(R37-Evaluation!$C$16)/Evaluation!$C$10</f>
        <v>80.331641474705791</v>
      </c>
      <c r="AE37" s="239">
        <f>(S37-Evaluation!$C$16)/Evaluation!$C$10</f>
        <v>71.436276423671146</v>
      </c>
      <c r="AF37" s="230">
        <f>(T37-Evaluation!$C$16)/Evaluation!$C$10</f>
        <v>64.494059902950525</v>
      </c>
    </row>
    <row r="38" spans="10:32" x14ac:dyDescent="0.25">
      <c r="J38" s="286"/>
      <c r="K38" s="81">
        <f t="shared" si="15"/>
        <v>4.2599999999999999E-2</v>
      </c>
      <c r="L38" s="182">
        <v>49363.26</v>
      </c>
      <c r="M38" s="258">
        <v>33530.36</v>
      </c>
      <c r="N38" s="271">
        <v>24996.03</v>
      </c>
      <c r="O38" s="181">
        <v>19709.89</v>
      </c>
      <c r="P38" s="181">
        <v>16144.7</v>
      </c>
      <c r="Q38" s="181">
        <v>13597.08</v>
      </c>
      <c r="R38" s="272">
        <v>11698.47</v>
      </c>
      <c r="S38" s="260">
        <v>10237.4</v>
      </c>
      <c r="T38" s="183">
        <v>9084.09</v>
      </c>
      <c r="V38" s="286"/>
      <c r="W38" s="81">
        <f t="shared" si="16"/>
        <v>4.2599999999999999E-2</v>
      </c>
      <c r="X38" s="231">
        <f>(L38-Evaluation!$C$16)/Evaluation!$C$10</f>
        <v>287.61369847732726</v>
      </c>
      <c r="Y38" s="238">
        <f>(M38-Evaluation!$C$16)/Evaluation!$C$10</f>
        <v>199.30481343075465</v>
      </c>
      <c r="Z38" s="250">
        <f>(N38-Evaluation!$C$16)/Evaluation!$C$10</f>
        <v>151.70411065870937</v>
      </c>
      <c r="AA38" s="229">
        <f>(O38-Evaluation!$C$16)/Evaluation!$C$10</f>
        <v>122.22036923420157</v>
      </c>
      <c r="AB38" s="229">
        <f>(P38-Evaluation!$C$16)/Evaluation!$C$10</f>
        <v>102.33532266160969</v>
      </c>
      <c r="AC38" s="229">
        <f>(Q38-Evaluation!$C$16)/Evaluation!$C$10</f>
        <v>88.125829661442353</v>
      </c>
      <c r="AD38" s="251">
        <f>(R38-Evaluation!$C$16)/Evaluation!$C$10</f>
        <v>77.536226225667917</v>
      </c>
      <c r="AE38" s="240">
        <f>(S38-Evaluation!$C$16)/Evaluation!$C$10</f>
        <v>69.38702660494171</v>
      </c>
      <c r="AF38" s="232">
        <f>(T38-Evaluation!$C$16)/Evaluation!$C$10</f>
        <v>62.954375592615321</v>
      </c>
    </row>
    <row r="39" spans="10:32" x14ac:dyDescent="0.25">
      <c r="J39" s="286"/>
      <c r="K39" s="22">
        <f t="shared" si="15"/>
        <v>3.7600000000000001E-2</v>
      </c>
      <c r="L39" s="175">
        <v>41643.67</v>
      </c>
      <c r="M39" s="257">
        <v>29785.25</v>
      </c>
      <c r="N39" s="269">
        <v>22870.26</v>
      </c>
      <c r="O39" s="176">
        <v>18382.650000000001</v>
      </c>
      <c r="P39" s="181">
        <v>15261.07</v>
      </c>
      <c r="Q39" s="176">
        <v>12980.89</v>
      </c>
      <c r="R39" s="270">
        <v>11253.44</v>
      </c>
      <c r="S39" s="259">
        <v>9907.02</v>
      </c>
      <c r="T39" s="177">
        <v>8833.2999999999993</v>
      </c>
      <c r="V39" s="286"/>
      <c r="W39" s="22">
        <f t="shared" si="16"/>
        <v>3.7600000000000001E-2</v>
      </c>
      <c r="X39" s="227">
        <f>(L39-Evaluation!$C$16)/Evaluation!$C$10</f>
        <v>244.55725361146744</v>
      </c>
      <c r="Y39" s="237">
        <f>(M39-Evaluation!$C$16)/Evaluation!$C$10</f>
        <v>178.41625299793631</v>
      </c>
      <c r="Z39" s="248">
        <f>(N39-Evaluation!$C$16)/Evaluation!$C$10</f>
        <v>139.84750962128396</v>
      </c>
      <c r="AA39" s="228">
        <f>(O39-Evaluation!$C$16)/Evaluation!$C$10</f>
        <v>114.81761392157958</v>
      </c>
      <c r="AB39" s="229">
        <f>(P39-Evaluation!$C$16)/Evaluation!$C$10</f>
        <v>97.406826928439955</v>
      </c>
      <c r="AC39" s="228">
        <f>(Q39-Evaluation!$C$16)/Evaluation!$C$10</f>
        <v>84.688995482179706</v>
      </c>
      <c r="AD39" s="249">
        <f>(R39-Evaluation!$C$16)/Evaluation!$C$10</f>
        <v>75.054046516816342</v>
      </c>
      <c r="AE39" s="239">
        <f>(S39-Evaluation!$C$16)/Evaluation!$C$10</f>
        <v>67.544313681744669</v>
      </c>
      <c r="AF39" s="230">
        <f>(T39-Evaluation!$C$16)/Evaluation!$C$10</f>
        <v>61.555580344692956</v>
      </c>
    </row>
    <row r="40" spans="10:32" x14ac:dyDescent="0.25">
      <c r="J40" s="286"/>
      <c r="K40" s="22">
        <f t="shared" si="15"/>
        <v>3.2600000000000004E-2</v>
      </c>
      <c r="L40" s="175">
        <v>36177.980000000003</v>
      </c>
      <c r="M40" s="257">
        <v>26886.49</v>
      </c>
      <c r="N40" s="273">
        <v>21136.34</v>
      </c>
      <c r="O40" s="274">
        <v>17261.990000000002</v>
      </c>
      <c r="P40" s="275">
        <v>14496.45</v>
      </c>
      <c r="Q40" s="274">
        <v>12437.84</v>
      </c>
      <c r="R40" s="276">
        <v>10855.63</v>
      </c>
      <c r="S40" s="259">
        <v>9608.32</v>
      </c>
      <c r="T40" s="177">
        <v>8604.4599999999991</v>
      </c>
      <c r="V40" s="286"/>
      <c r="W40" s="22">
        <f t="shared" si="16"/>
        <v>3.2600000000000004E-2</v>
      </c>
      <c r="X40" s="227">
        <f>(L40-Evaluation!$C$16)/Evaluation!$C$10</f>
        <v>214.07206202242179</v>
      </c>
      <c r="Y40" s="237">
        <f>(M40-Evaluation!$C$16)/Evaluation!$C$10</f>
        <v>162.24825701377657</v>
      </c>
      <c r="Z40" s="252">
        <f>(N40-Evaluation!$C$16)/Evaluation!$C$10</f>
        <v>130.17647386915056</v>
      </c>
      <c r="AA40" s="256">
        <f>(O40-Evaluation!$C$16)/Evaluation!$C$10</f>
        <v>108.56707010987786</v>
      </c>
      <c r="AB40" s="253">
        <f>(P40-Evaluation!$C$16)/Evaluation!$C$10</f>
        <v>93.142116124714164</v>
      </c>
      <c r="AC40" s="256">
        <f>(Q40-Evaluation!$C$16)/Evaluation!$C$10</f>
        <v>81.660103742540016</v>
      </c>
      <c r="AD40" s="254">
        <f>(R40-Evaluation!$C$16)/Evaluation!$C$10</f>
        <v>72.835238998270952</v>
      </c>
      <c r="AE40" s="239">
        <f>(S40-Evaluation!$C$16)/Evaluation!$C$10</f>
        <v>65.878297729934744</v>
      </c>
      <c r="AF40" s="230">
        <f>(T40-Evaluation!$C$16)/Evaluation!$C$10</f>
        <v>60.279212449104797</v>
      </c>
    </row>
    <row r="41" spans="10:32" x14ac:dyDescent="0.25">
      <c r="J41" s="286"/>
      <c r="K41" s="22">
        <f t="shared" si="15"/>
        <v>2.7600000000000003E-2</v>
      </c>
      <c r="L41" s="175">
        <v>32104.82</v>
      </c>
      <c r="M41" s="176">
        <v>24576.31</v>
      </c>
      <c r="N41" s="263">
        <v>19695.060000000001</v>
      </c>
      <c r="O41" s="263">
        <v>16303.15</v>
      </c>
      <c r="P41" s="264">
        <v>13828.31</v>
      </c>
      <c r="Q41" s="263">
        <v>11955.64</v>
      </c>
      <c r="R41" s="263">
        <v>10497.9</v>
      </c>
      <c r="S41" s="176">
        <v>9336.9699999999993</v>
      </c>
      <c r="T41" s="177">
        <v>8394.82</v>
      </c>
      <c r="V41" s="286"/>
      <c r="W41" s="22">
        <f t="shared" si="16"/>
        <v>2.7600000000000003E-2</v>
      </c>
      <c r="X41" s="227">
        <f>(L41-Evaluation!$C$16)/Evaluation!$C$10</f>
        <v>191.35378437168833</v>
      </c>
      <c r="Y41" s="228">
        <f>(M41-Evaluation!$C$16)/Evaluation!$C$10</f>
        <v>149.3630988900664</v>
      </c>
      <c r="Z41" s="243">
        <f>(N41-Evaluation!$C$16)/Evaluation!$C$10</f>
        <v>122.13765407998217</v>
      </c>
      <c r="AA41" s="243">
        <f>(O41-Evaluation!$C$16)/Evaluation!$C$10</f>
        <v>103.21908639634114</v>
      </c>
      <c r="AB41" s="244">
        <f>(P41-Evaluation!$C$16)/Evaluation!$C$10</f>
        <v>89.415527915667354</v>
      </c>
      <c r="AC41" s="243">
        <f>(Q41-Evaluation!$C$16)/Evaluation!$C$10</f>
        <v>78.970606280327956</v>
      </c>
      <c r="AD41" s="243">
        <f>(R41-Evaluation!$C$16)/Evaluation!$C$10</f>
        <v>70.839979920798712</v>
      </c>
      <c r="AE41" s="228">
        <f>(S41-Evaluation!$C$16)/Evaluation!$C$10</f>
        <v>64.364827932400019</v>
      </c>
      <c r="AF41" s="230">
        <f>(T41-Evaluation!$C$16)/Evaluation!$C$10</f>
        <v>59.109933627084615</v>
      </c>
    </row>
    <row r="42" spans="10:32" ht="15.75" thickBot="1" x14ac:dyDescent="0.3">
      <c r="J42" s="286"/>
      <c r="K42" s="22">
        <f t="shared" si="15"/>
        <v>2.2600000000000002E-2</v>
      </c>
      <c r="L42" s="178">
        <v>28952.14</v>
      </c>
      <c r="M42" s="179">
        <v>22691.97</v>
      </c>
      <c r="N42" s="179">
        <v>18478.099999999999</v>
      </c>
      <c r="O42" s="179">
        <v>15473.45</v>
      </c>
      <c r="P42" s="185">
        <v>13239.47</v>
      </c>
      <c r="Q42" s="179">
        <v>11524.6</v>
      </c>
      <c r="R42" s="179">
        <v>10174.48</v>
      </c>
      <c r="S42" s="179">
        <v>9089.3700000000008</v>
      </c>
      <c r="T42" s="180">
        <v>8202.0400000000009</v>
      </c>
      <c r="V42" s="286"/>
      <c r="W42" s="22">
        <f t="shared" si="16"/>
        <v>2.2600000000000002E-2</v>
      </c>
      <c r="X42" s="233">
        <f>(L42-Evaluation!$C$16)/Evaluation!$C$10</f>
        <v>173.76953538959228</v>
      </c>
      <c r="Y42" s="234">
        <f>(M42-Evaluation!$C$16)/Evaluation!$C$10</f>
        <v>138.85308717719897</v>
      </c>
      <c r="Z42" s="234">
        <f>(N42-Evaluation!$C$16)/Evaluation!$C$10</f>
        <v>115.34999163366612</v>
      </c>
      <c r="AA42" s="234">
        <f>(O42-Evaluation!$C$16)/Evaluation!$C$10</f>
        <v>98.591388253667247</v>
      </c>
      <c r="AB42" s="235">
        <f>(P42-Evaluation!$C$16)/Evaluation!$C$10</f>
        <v>86.131239890679907</v>
      </c>
      <c r="AC42" s="234">
        <f>(Q42-Evaluation!$C$16)/Evaluation!$C$10</f>
        <v>76.566456578727212</v>
      </c>
      <c r="AD42" s="234">
        <f>(R42-Evaluation!$C$16)/Evaluation!$C$10</f>
        <v>69.036086786770042</v>
      </c>
      <c r="AE42" s="234">
        <f>(S42-Evaluation!$C$16)/Evaluation!$C$10</f>
        <v>62.983825087846512</v>
      </c>
      <c r="AF42" s="236">
        <f>(T42-Evaluation!$C$16)/Evaluation!$C$10</f>
        <v>58.034692397791297</v>
      </c>
    </row>
  </sheetData>
  <mergeCells count="14">
    <mergeCell ref="V21:V29"/>
    <mergeCell ref="X32:AF32"/>
    <mergeCell ref="V34:V42"/>
    <mergeCell ref="L6:T6"/>
    <mergeCell ref="J8:J16"/>
    <mergeCell ref="L19:T19"/>
    <mergeCell ref="J21:J29"/>
    <mergeCell ref="L32:T32"/>
    <mergeCell ref="J34:J42"/>
    <mergeCell ref="X4:AF4"/>
    <mergeCell ref="L4:T4"/>
    <mergeCell ref="X6:AF6"/>
    <mergeCell ref="V8:V16"/>
    <mergeCell ref="X19:AF19"/>
  </mergeCells>
  <conditionalFormatting sqref="L8:T1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:T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:T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AF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1:AF2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4:AF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5" r:id="rId3" name="Button 5">
              <controlPr defaultSize="0" print="0" autoFill="0" autoPict="0" macro="[0]!BuildDCFSensitivityTables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BBC1B-A58B-4E80-90A2-7E54C700B527}">
  <sheetPr codeName="Sheet2">
    <tabColor theme="9" tint="0.79998168889431442"/>
  </sheetPr>
  <dimension ref="C2:Q17"/>
  <sheetViews>
    <sheetView showGridLines="0" zoomScale="80" zoomScaleNormal="80" workbookViewId="0">
      <selection activeCell="Q9" sqref="Q9"/>
    </sheetView>
  </sheetViews>
  <sheetFormatPr defaultRowHeight="15" x14ac:dyDescent="0.25"/>
  <cols>
    <col min="2" max="2" width="3.7109375" bestFit="1" customWidth="1"/>
    <col min="3" max="3" width="28.7109375" bestFit="1" customWidth="1"/>
    <col min="4" max="4" width="9.85546875" bestFit="1" customWidth="1"/>
    <col min="5" max="5" width="4.5703125" customWidth="1"/>
    <col min="7" max="7" width="4.5703125" bestFit="1" customWidth="1"/>
    <col min="8" max="15" width="7" customWidth="1"/>
  </cols>
  <sheetData>
    <row r="2" spans="3:17" x14ac:dyDescent="0.25">
      <c r="C2" s="2" t="s">
        <v>410</v>
      </c>
    </row>
    <row r="7" spans="3:17" x14ac:dyDescent="0.25">
      <c r="C7" t="s">
        <v>400</v>
      </c>
      <c r="D7">
        <v>0</v>
      </c>
      <c r="I7" s="285" t="s">
        <v>401</v>
      </c>
      <c r="J7" s="285"/>
      <c r="K7" s="285"/>
      <c r="L7" s="285"/>
      <c r="M7" s="285"/>
      <c r="N7" s="285"/>
      <c r="O7" s="285"/>
      <c r="P7" s="285"/>
      <c r="Q7" s="285"/>
    </row>
    <row r="8" spans="3:17" ht="15.75" thickBot="1" x14ac:dyDescent="0.3">
      <c r="C8" t="s">
        <v>61</v>
      </c>
      <c r="D8" s="20">
        <v>-0.2</v>
      </c>
      <c r="H8" s="22"/>
      <c r="I8" s="22">
        <f t="shared" ref="I8:K8" si="0">J8-0.02</f>
        <v>1.9999999999999993E-2</v>
      </c>
      <c r="J8" s="22">
        <f t="shared" si="0"/>
        <v>3.9999999999999994E-2</v>
      </c>
      <c r="K8" s="22">
        <f t="shared" si="0"/>
        <v>0.06</v>
      </c>
      <c r="L8" s="22">
        <f>M8-0.02</f>
        <v>0.08</v>
      </c>
      <c r="M8" s="22">
        <v>0.1</v>
      </c>
      <c r="N8" s="22">
        <f>M8+0.02</f>
        <v>0.12000000000000001</v>
      </c>
      <c r="O8" s="22">
        <f t="shared" ref="O8:Q8" si="1">N8+0.02</f>
        <v>0.14000000000000001</v>
      </c>
      <c r="P8" s="22">
        <f t="shared" si="1"/>
        <v>0.16</v>
      </c>
      <c r="Q8" s="22">
        <f t="shared" si="1"/>
        <v>0.18</v>
      </c>
    </row>
    <row r="9" spans="3:17" ht="15" customHeight="1" x14ac:dyDescent="0.25">
      <c r="C9" t="s">
        <v>402</v>
      </c>
      <c r="D9" s="20">
        <v>-0.7</v>
      </c>
      <c r="G9" s="286" t="s">
        <v>403</v>
      </c>
      <c r="H9" s="22">
        <f t="shared" ref="H9:H11" si="2">H10+0.025</f>
        <v>-0.44149999999999989</v>
      </c>
      <c r="I9" s="172">
        <v>1137.6841714359457</v>
      </c>
      <c r="J9" s="173">
        <v>1229.4924239232212</v>
      </c>
      <c r="K9" s="173">
        <v>1326.7529019043295</v>
      </c>
      <c r="L9" s="173">
        <v>1429.6773096665495</v>
      </c>
      <c r="M9" s="184">
        <v>1538.4813839597743</v>
      </c>
      <c r="N9" s="173">
        <v>1653.3848939965164</v>
      </c>
      <c r="O9" s="173">
        <v>1774.6116414518976</v>
      </c>
      <c r="P9" s="173">
        <v>1902.3894604636557</v>
      </c>
      <c r="Q9" s="174">
        <v>2036.95021763215</v>
      </c>
    </row>
    <row r="10" spans="3:17" x14ac:dyDescent="0.25">
      <c r="C10" t="s">
        <v>404</v>
      </c>
      <c r="G10" s="286"/>
      <c r="H10" s="22">
        <f t="shared" si="2"/>
        <v>-0.46649999999999991</v>
      </c>
      <c r="I10" s="175">
        <v>1055.2448151318122</v>
      </c>
      <c r="J10" s="176">
        <v>1140.3945661385076</v>
      </c>
      <c r="K10" s="176">
        <v>1230.6011135731335</v>
      </c>
      <c r="L10" s="176">
        <v>1326.0608076205644</v>
      </c>
      <c r="M10" s="181">
        <v>1426.9737384691955</v>
      </c>
      <c r="N10" s="176">
        <v>1533.5437363109459</v>
      </c>
      <c r="O10" s="176">
        <v>1645.9783713412548</v>
      </c>
      <c r="P10" s="176">
        <v>1764.4889537590807</v>
      </c>
      <c r="Q10" s="177">
        <v>1889.2905337669088</v>
      </c>
    </row>
    <row r="11" spans="3:17" x14ac:dyDescent="0.25">
      <c r="C11" s="3" t="s">
        <v>405</v>
      </c>
      <c r="G11" s="286"/>
      <c r="H11" s="22">
        <f t="shared" si="2"/>
        <v>-0.49149999999999994</v>
      </c>
      <c r="I11" s="175">
        <v>972.80545882767842</v>
      </c>
      <c r="J11" s="176">
        <v>1051.2967083537935</v>
      </c>
      <c r="K11" s="176">
        <v>1134.4493252419372</v>
      </c>
      <c r="L11" s="176">
        <v>1222.4443055745789</v>
      </c>
      <c r="M11" s="181">
        <v>1315.466092978616</v>
      </c>
      <c r="N11" s="176">
        <v>1413.7025786253764</v>
      </c>
      <c r="O11" s="176">
        <v>1517.3451012306118</v>
      </c>
      <c r="P11" s="176">
        <v>1626.5884470545045</v>
      </c>
      <c r="Q11" s="177">
        <v>1741.6308499016679</v>
      </c>
    </row>
    <row r="12" spans="3:17" ht="15" customHeight="1" x14ac:dyDescent="0.25">
      <c r="C12" s="15" t="s">
        <v>40</v>
      </c>
      <c r="D12" s="23">
        <v>0.28860641447577667</v>
      </c>
      <c r="G12" s="286"/>
      <c r="H12" s="22">
        <f>H13+0.025</f>
        <v>-0.51649999999999996</v>
      </c>
      <c r="I12" s="175">
        <v>890.36610252354535</v>
      </c>
      <c r="J12" s="176">
        <v>962.19885056908015</v>
      </c>
      <c r="K12" s="176">
        <v>1038.2975369107414</v>
      </c>
      <c r="L12" s="176">
        <v>1118.8278035285941</v>
      </c>
      <c r="M12" s="181">
        <v>1203.9584474880369</v>
      </c>
      <c r="N12" s="176">
        <v>1293.8614209398063</v>
      </c>
      <c r="O12" s="176">
        <v>1388.7118311199695</v>
      </c>
      <c r="P12" s="176">
        <v>1488.6879403499297</v>
      </c>
      <c r="Q12" s="177">
        <v>1593.971166036428</v>
      </c>
    </row>
    <row r="13" spans="3:17" x14ac:dyDescent="0.25">
      <c r="C13" s="15" t="s">
        <v>406</v>
      </c>
      <c r="D13" s="23">
        <v>0.45978298894576003</v>
      </c>
      <c r="G13" s="286"/>
      <c r="H13" s="81">
        <v>-0.54149999999999998</v>
      </c>
      <c r="I13" s="182">
        <v>807.92674621941148</v>
      </c>
      <c r="J13" s="181">
        <v>873.10099278436621</v>
      </c>
      <c r="K13" s="181">
        <v>942.14574857954563</v>
      </c>
      <c r="L13" s="181">
        <v>1015.2113014826089</v>
      </c>
      <c r="M13" s="181">
        <v>1092.4508019974578</v>
      </c>
      <c r="N13" s="181">
        <v>1174.0202632542357</v>
      </c>
      <c r="O13" s="181">
        <v>1260.0785610093269</v>
      </c>
      <c r="P13" s="181">
        <v>1350.7874336453544</v>
      </c>
      <c r="Q13" s="183">
        <v>1446.3114821711868</v>
      </c>
    </row>
    <row r="14" spans="3:17" x14ac:dyDescent="0.25">
      <c r="C14" s="15" t="s">
        <v>407</v>
      </c>
      <c r="D14" s="23">
        <v>0.2502111966608912</v>
      </c>
      <c r="G14" s="286"/>
      <c r="H14" s="22">
        <f>H13-0.025</f>
        <v>-0.5665</v>
      </c>
      <c r="I14" s="175">
        <v>725.48738991527807</v>
      </c>
      <c r="J14" s="176">
        <v>784.0031349996525</v>
      </c>
      <c r="K14" s="176">
        <v>845.99396024834948</v>
      </c>
      <c r="L14" s="176">
        <v>911.59479943662393</v>
      </c>
      <c r="M14" s="181">
        <v>980.94315650687849</v>
      </c>
      <c r="N14" s="176">
        <v>1054.179105568666</v>
      </c>
      <c r="O14" s="176">
        <v>1131.4452908986841</v>
      </c>
      <c r="P14" s="176">
        <v>1212.8869269407789</v>
      </c>
      <c r="Q14" s="177">
        <v>1298.6517983059455</v>
      </c>
    </row>
    <row r="15" spans="3:17" x14ac:dyDescent="0.25">
      <c r="C15" s="15" t="s">
        <v>408</v>
      </c>
      <c r="D15" s="186">
        <v>1.3993999175720201E-3</v>
      </c>
      <c r="G15" s="286"/>
      <c r="H15" s="22">
        <f t="shared" ref="H15:H17" si="3">H14-0.025</f>
        <v>-0.59150000000000003</v>
      </c>
      <c r="I15" s="175">
        <v>643.048033611145</v>
      </c>
      <c r="J15" s="176">
        <v>694.90527721493868</v>
      </c>
      <c r="K15" s="176">
        <v>749.842171917153</v>
      </c>
      <c r="L15" s="176">
        <v>807.97829739063855</v>
      </c>
      <c r="M15" s="181">
        <v>869.43551101629942</v>
      </c>
      <c r="N15" s="176">
        <v>934.33794788309604</v>
      </c>
      <c r="O15" s="176">
        <v>1002.8120207880411</v>
      </c>
      <c r="P15" s="176">
        <v>1074.9864202362032</v>
      </c>
      <c r="Q15" s="177">
        <v>1150.9921144407051</v>
      </c>
    </row>
    <row r="16" spans="3:17" x14ac:dyDescent="0.25">
      <c r="G16" s="286"/>
      <c r="H16" s="22">
        <f t="shared" si="3"/>
        <v>-0.61650000000000005</v>
      </c>
      <c r="I16" s="175">
        <v>560.60867730701113</v>
      </c>
      <c r="J16" s="176">
        <v>605.80741943022497</v>
      </c>
      <c r="K16" s="176">
        <v>653.69038358595742</v>
      </c>
      <c r="L16" s="176">
        <v>704.36179534465373</v>
      </c>
      <c r="M16" s="181">
        <v>757.92786552572022</v>
      </c>
      <c r="N16" s="176">
        <v>814.49679019752591</v>
      </c>
      <c r="O16" s="176">
        <v>874.17875067739908</v>
      </c>
      <c r="P16" s="176">
        <v>937.08591353162751</v>
      </c>
      <c r="Q16" s="177">
        <v>1003.3324305754643</v>
      </c>
    </row>
    <row r="17" spans="3:17" ht="15.75" thickBot="1" x14ac:dyDescent="0.3">
      <c r="C17" s="15" t="s">
        <v>409</v>
      </c>
      <c r="D17" s="39">
        <f ca="1">'Consolidated Model'!K29</f>
        <v>1333.8407419117934</v>
      </c>
      <c r="G17" s="286"/>
      <c r="H17" s="22">
        <f t="shared" si="3"/>
        <v>-0.64150000000000007</v>
      </c>
      <c r="I17" s="178">
        <v>478.16932100287733</v>
      </c>
      <c r="J17" s="179">
        <v>516.70956164551126</v>
      </c>
      <c r="K17" s="179">
        <v>557.53859525476139</v>
      </c>
      <c r="L17" s="179">
        <v>600.7452932986688</v>
      </c>
      <c r="M17" s="185">
        <v>646.42022003514148</v>
      </c>
      <c r="N17" s="179">
        <v>694.6556325119559</v>
      </c>
      <c r="O17" s="179">
        <v>745.54548056675571</v>
      </c>
      <c r="P17" s="179">
        <v>799.18540682705236</v>
      </c>
      <c r="Q17" s="180">
        <v>855.67274671022301</v>
      </c>
    </row>
  </sheetData>
  <mergeCells count="2">
    <mergeCell ref="G9:G17"/>
    <mergeCell ref="I7:Q7"/>
  </mergeCells>
  <conditionalFormatting sqref="I9:Q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unSensitivityMatrix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4424-A76E-4AD0-B9C9-1413D8F49C3D}">
  <sheetPr codeName="Sheet17">
    <tabColor theme="9" tint="0.79998168889431442"/>
  </sheetPr>
  <dimension ref="A1:AY50"/>
  <sheetViews>
    <sheetView showGridLines="0" zoomScale="80" zoomScaleNormal="80" workbookViewId="0">
      <selection activeCell="I26" sqref="I26"/>
    </sheetView>
  </sheetViews>
  <sheetFormatPr defaultRowHeight="15" x14ac:dyDescent="0.25"/>
  <cols>
    <col min="1" max="1" width="2.7109375" customWidth="1"/>
    <col min="2" max="2" width="25.85546875" bestFit="1" customWidth="1"/>
    <col min="3" max="3" width="9.140625" customWidth="1"/>
    <col min="4" max="5" width="2.7109375" customWidth="1"/>
    <col min="6" max="7" width="13.7109375" bestFit="1" customWidth="1"/>
    <col min="8" max="14" width="13" bestFit="1" customWidth="1"/>
    <col min="15" max="17" width="2.7109375" customWidth="1"/>
    <col min="18" max="18" width="24.140625" bestFit="1" customWidth="1"/>
    <col min="25" max="25" width="2.7109375" customWidth="1"/>
    <col min="38" max="51" width="9.140625" style="138"/>
  </cols>
  <sheetData>
    <row r="1" spans="1:27" x14ac:dyDescent="0.25">
      <c r="A1" s="1"/>
    </row>
    <row r="3" spans="1:27" ht="15.75" thickBot="1" x14ac:dyDescent="0.3"/>
    <row r="4" spans="1:27" x14ac:dyDescent="0.25">
      <c r="B4" s="157" t="s">
        <v>372</v>
      </c>
      <c r="C4" s="2"/>
      <c r="D4" s="2"/>
      <c r="E4" s="2"/>
    </row>
    <row r="5" spans="1:27" x14ac:dyDescent="0.25">
      <c r="B5" s="155" t="str" cm="1">
        <f t="array" ref="B5:B7">Scenarios</f>
        <v>Base</v>
      </c>
      <c r="C5" s="3"/>
      <c r="D5" s="3"/>
      <c r="E5" s="3"/>
    </row>
    <row r="6" spans="1:27" x14ac:dyDescent="0.25">
      <c r="B6" s="155" t="str">
        <v>Pessimistic</v>
      </c>
      <c r="C6" s="3"/>
      <c r="D6" s="3"/>
      <c r="E6" s="3"/>
    </row>
    <row r="7" spans="1:27" ht="15.75" thickBot="1" x14ac:dyDescent="0.3">
      <c r="B7" s="156" t="str">
        <v>Optimistic</v>
      </c>
      <c r="C7" s="3"/>
      <c r="D7" s="3"/>
    </row>
    <row r="9" spans="1:27" x14ac:dyDescent="0.25">
      <c r="B9" s="17" t="s">
        <v>411</v>
      </c>
      <c r="C9" s="17"/>
      <c r="D9" s="17"/>
      <c r="E9" s="17"/>
      <c r="F9" s="129">
        <v>44957</v>
      </c>
      <c r="G9" s="129">
        <f t="shared" ref="G9:N9" si="0">EOMONTH(F9,12)</f>
        <v>45322</v>
      </c>
      <c r="H9" s="129">
        <f t="shared" si="0"/>
        <v>45688</v>
      </c>
      <c r="I9" s="129">
        <f t="shared" si="0"/>
        <v>46053</v>
      </c>
      <c r="J9" s="130">
        <f>EOMONTH(I9,12)</f>
        <v>46418</v>
      </c>
      <c r="K9" s="130">
        <f t="shared" si="0"/>
        <v>46783</v>
      </c>
      <c r="L9" s="130">
        <f t="shared" si="0"/>
        <v>47149</v>
      </c>
      <c r="M9" s="130">
        <f t="shared" si="0"/>
        <v>47514</v>
      </c>
      <c r="N9" s="130">
        <f t="shared" si="0"/>
        <v>47879</v>
      </c>
    </row>
    <row r="11" spans="1:27" x14ac:dyDescent="0.25">
      <c r="B11" s="2" t="s">
        <v>0</v>
      </c>
      <c r="C11" s="13"/>
      <c r="D11" s="189" t="str" cm="1">
        <f t="array" ref="D11">INDEX(_xlfn.TEXTSPLIT(B11,":"),,1)</f>
        <v>Revenue</v>
      </c>
      <c r="E11" s="21" t="str" cm="1">
        <f t="array" ref="E11">IF(ISNA(_xlfn.XMATCH(INDEX(_xlfn.TEXTSPLIT(B11,":"),,1),Scenarios,0)),"Historical",INDEX(_xlfn.TEXTSPLIT(B11,":"),,1))</f>
        <v>Historical</v>
      </c>
      <c r="F11" s="11">
        <f>'Consolidated Model'!C10</f>
        <v>1858</v>
      </c>
      <c r="G11" s="11">
        <f>'Consolidated Model'!D10</f>
        <v>2263</v>
      </c>
      <c r="H11" s="11">
        <f>'Consolidated Model'!E10</f>
        <v>2610</v>
      </c>
      <c r="I11" s="11">
        <f>'Consolidated Model'!F10</f>
        <v>2919</v>
      </c>
      <c r="J11" s="11">
        <f ca="1">'Consolidated Model'!G10</f>
        <v>3236.1157499999999</v>
      </c>
      <c r="K11" s="11">
        <f ca="1">'Consolidated Model'!H10</f>
        <v>3564.4337095500009</v>
      </c>
      <c r="L11" s="11">
        <f ca="1">'Consolidated Model'!I10</f>
        <v>3929.08223232</v>
      </c>
      <c r="M11" s="11">
        <f ca="1">'Consolidated Model'!J10</f>
        <v>4417.5472612991998</v>
      </c>
      <c r="N11" s="11">
        <f ca="1">'Consolidated Model'!K10</f>
        <v>4966.6176419758076</v>
      </c>
      <c r="S11" s="188"/>
      <c r="T11" s="188"/>
      <c r="U11" s="188"/>
      <c r="V11" s="188"/>
      <c r="W11" s="188"/>
      <c r="X11" s="188"/>
      <c r="Y11" s="188"/>
      <c r="Z11" s="188"/>
      <c r="AA11" s="188"/>
    </row>
    <row r="12" spans="1:27" x14ac:dyDescent="0.25">
      <c r="B12" s="3" t="s">
        <v>365</v>
      </c>
      <c r="C12" s="3"/>
      <c r="D12" s="189" t="s">
        <v>69</v>
      </c>
      <c r="E12" s="21" t="s">
        <v>417</v>
      </c>
      <c r="F12" s="11">
        <v>1858</v>
      </c>
      <c r="G12" s="11">
        <v>2263</v>
      </c>
      <c r="H12" s="11">
        <v>2610</v>
      </c>
      <c r="I12" s="11">
        <v>2919</v>
      </c>
      <c r="J12" s="11">
        <v>3172.6624999999999</v>
      </c>
      <c r="K12" s="11">
        <v>3418.7830875000004</v>
      </c>
      <c r="L12" s="11">
        <v>3686.9229375000009</v>
      </c>
      <c r="M12" s="11">
        <v>4055.6152312500012</v>
      </c>
      <c r="N12" s="11">
        <v>4461.1767543750011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25">
      <c r="B13" s="3" t="s">
        <v>369</v>
      </c>
      <c r="C13" s="3"/>
      <c r="D13" s="189" t="s">
        <v>69</v>
      </c>
      <c r="E13" s="21" t="s">
        <v>417</v>
      </c>
      <c r="F13" s="11">
        <v>1858</v>
      </c>
      <c r="G13" s="11">
        <v>2263</v>
      </c>
      <c r="H13" s="11">
        <v>2610</v>
      </c>
      <c r="I13" s="11">
        <v>2919</v>
      </c>
      <c r="J13" s="11">
        <v>3204.0749999999998</v>
      </c>
      <c r="K13" s="11">
        <v>3374.1635062499995</v>
      </c>
      <c r="L13" s="11">
        <v>3556.1036953124999</v>
      </c>
      <c r="M13" s="11">
        <v>3822.8114724609372</v>
      </c>
      <c r="N13" s="11">
        <v>4109.5223328955071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 x14ac:dyDescent="0.25">
      <c r="B14" s="3" t="s">
        <v>370</v>
      </c>
      <c r="C14" s="3"/>
      <c r="D14" s="189" t="s">
        <v>69</v>
      </c>
      <c r="E14" s="21" t="s">
        <v>417</v>
      </c>
      <c r="F14" s="11">
        <v>1858</v>
      </c>
      <c r="G14" s="11">
        <v>2263</v>
      </c>
      <c r="H14" s="11">
        <v>2610</v>
      </c>
      <c r="I14" s="11">
        <v>2919</v>
      </c>
      <c r="J14" s="11">
        <v>3236.1157499999999</v>
      </c>
      <c r="K14" s="11">
        <v>3564.4337095500009</v>
      </c>
      <c r="L14" s="11">
        <v>3929.08223232</v>
      </c>
      <c r="M14" s="11">
        <v>4417.5472612991998</v>
      </c>
      <c r="N14" s="11">
        <v>4966.6176419758076</v>
      </c>
      <c r="S14" s="11"/>
      <c r="T14" s="11"/>
      <c r="U14" s="11"/>
      <c r="V14" s="11"/>
      <c r="W14" s="11"/>
      <c r="X14" s="11"/>
      <c r="Y14" s="11"/>
      <c r="Z14" s="11"/>
      <c r="AA14" s="11"/>
    </row>
    <row r="15" spans="1:27" x14ac:dyDescent="0.25">
      <c r="B15" s="3" t="s">
        <v>520</v>
      </c>
      <c r="C15" s="15"/>
      <c r="D15" s="190"/>
      <c r="E15" s="21"/>
      <c r="R15" s="15"/>
    </row>
    <row r="16" spans="1:27" x14ac:dyDescent="0.25">
      <c r="B16" s="2" t="s">
        <v>83</v>
      </c>
      <c r="C16" s="20">
        <f t="shared" ref="C16:C21" ca="1" si="1">AVERAGE(J16:N16)</f>
        <v>0.11220164008418583</v>
      </c>
      <c r="D16" s="189" t="str" cm="1">
        <f t="array" ref="D16">INDEX(_xlfn.TEXTSPLIT(B16,":"),,1)</f>
        <v>Revenue CAGR</v>
      </c>
      <c r="E16" s="21" t="str" cm="1">
        <f t="array" ref="E16">IF(ISNA(_xlfn.XMATCH(INDEX(_xlfn.TEXTSPLIT(B16,":"),,1),Scenarios,0)),"Historical",INDEX(_xlfn.TEXTSPLIT(B16,":"),,1))</f>
        <v>Historical</v>
      </c>
      <c r="G16" s="20">
        <f t="shared" ref="G16:N16" si="2">(G11/F11)-1</f>
        <v>0.21797631862217437</v>
      </c>
      <c r="H16" s="20">
        <f t="shared" si="2"/>
        <v>0.15333627927529836</v>
      </c>
      <c r="I16" s="20">
        <f t="shared" si="2"/>
        <v>0.11839080459770113</v>
      </c>
      <c r="J16" s="20">
        <f t="shared" ca="1" si="2"/>
        <v>0.10863848920863317</v>
      </c>
      <c r="K16" s="20">
        <f t="shared" ca="1" si="2"/>
        <v>0.10145433133842663</v>
      </c>
      <c r="L16" s="20">
        <f t="shared" ca="1" si="2"/>
        <v>0.10230195102044259</v>
      </c>
      <c r="M16" s="20">
        <f t="shared" ca="1" si="2"/>
        <v>0.12432038834951453</v>
      </c>
      <c r="N16" s="20">
        <f t="shared" ca="1" si="2"/>
        <v>0.12429304050391221</v>
      </c>
      <c r="S16" s="188"/>
      <c r="T16" s="188"/>
      <c r="U16" s="188"/>
      <c r="V16" s="188"/>
      <c r="W16" s="188"/>
      <c r="X16" s="188"/>
      <c r="Y16" s="188"/>
      <c r="Z16" s="188"/>
      <c r="AA16" s="188"/>
    </row>
    <row r="17" spans="2:27" x14ac:dyDescent="0.25">
      <c r="B17" s="3" t="s">
        <v>365</v>
      </c>
      <c r="C17" s="20">
        <v>8.8581452008871159E-2</v>
      </c>
      <c r="D17" s="189" t="s">
        <v>413</v>
      </c>
      <c r="E17" s="21" t="s">
        <v>417</v>
      </c>
      <c r="G17" s="20">
        <v>0.21797631862217437</v>
      </c>
      <c r="H17" s="20">
        <v>0.15333627927529836</v>
      </c>
      <c r="I17" s="20">
        <v>0.11839080459770113</v>
      </c>
      <c r="J17" s="20">
        <v>8.6900479616306869E-2</v>
      </c>
      <c r="K17" s="20">
        <v>7.7575407879029168E-2</v>
      </c>
      <c r="L17" s="20">
        <v>7.8431372549019773E-2</v>
      </c>
      <c r="M17" s="20">
        <v>0.10000000000000009</v>
      </c>
      <c r="N17" s="20">
        <v>9.9999999999999867E-2</v>
      </c>
      <c r="T17" s="20"/>
      <c r="U17" s="20"/>
      <c r="V17" s="20"/>
      <c r="W17" s="20"/>
      <c r="X17" s="20"/>
      <c r="Y17" s="20"/>
      <c r="Z17" s="20"/>
      <c r="AA17" s="20"/>
    </row>
    <row r="18" spans="2:27" x14ac:dyDescent="0.25">
      <c r="B18" s="3" t="s">
        <v>369</v>
      </c>
      <c r="C18" s="20">
        <v>7.0933699366201614E-2</v>
      </c>
      <c r="D18" s="189" t="s">
        <v>413</v>
      </c>
      <c r="E18" s="21" t="s">
        <v>417</v>
      </c>
      <c r="G18" s="20">
        <v>0.21797631862217437</v>
      </c>
      <c r="H18" s="20">
        <v>0.15333627927529836</v>
      </c>
      <c r="I18" s="20">
        <v>0.11839080459770113</v>
      </c>
      <c r="J18" s="20">
        <v>9.7661870503596981E-2</v>
      </c>
      <c r="K18" s="20">
        <v>5.3085057699960192E-2</v>
      </c>
      <c r="L18" s="20">
        <v>5.3921568627451011E-2</v>
      </c>
      <c r="M18" s="20">
        <v>7.4999999999999956E-2</v>
      </c>
      <c r="N18" s="20">
        <v>7.4999999999999956E-2</v>
      </c>
      <c r="T18" s="20"/>
      <c r="U18" s="20"/>
      <c r="V18" s="20"/>
      <c r="W18" s="20"/>
      <c r="X18" s="20"/>
      <c r="Y18" s="20"/>
      <c r="Z18" s="20"/>
      <c r="AA18" s="20"/>
    </row>
    <row r="19" spans="2:27" x14ac:dyDescent="0.25">
      <c r="B19" s="3" t="s">
        <v>370</v>
      </c>
      <c r="C19" s="20">
        <v>0.11220164008418583</v>
      </c>
      <c r="D19" s="189" t="s">
        <v>413</v>
      </c>
      <c r="E19" s="21" t="s">
        <v>417</v>
      </c>
      <c r="G19" s="20">
        <v>0.21797631862217437</v>
      </c>
      <c r="H19" s="20">
        <v>0.15333627927529836</v>
      </c>
      <c r="I19" s="20">
        <v>0.11839080459770113</v>
      </c>
      <c r="J19" s="20">
        <v>0.10863848920863317</v>
      </c>
      <c r="K19" s="20">
        <v>0.10145433133842663</v>
      </c>
      <c r="L19" s="20">
        <v>0.10230195102044259</v>
      </c>
      <c r="M19" s="20">
        <v>0.12432038834951453</v>
      </c>
      <c r="N19" s="20">
        <v>0.12429304050391221</v>
      </c>
      <c r="T19" s="20"/>
      <c r="U19" s="20"/>
      <c r="V19" s="20"/>
      <c r="W19" s="20"/>
      <c r="X19" s="20"/>
      <c r="Y19" s="20"/>
      <c r="Z19" s="20"/>
      <c r="AA19" s="20"/>
    </row>
    <row r="20" spans="2:27" x14ac:dyDescent="0.25">
      <c r="B20" s="3" t="s">
        <v>520</v>
      </c>
      <c r="C20" s="15"/>
      <c r="D20" s="190"/>
      <c r="E20" s="21"/>
      <c r="R20" s="15"/>
    </row>
    <row r="21" spans="2:27" x14ac:dyDescent="0.25">
      <c r="B21" s="8" t="s">
        <v>416</v>
      </c>
      <c r="C21" s="20">
        <f t="shared" ca="1" si="1"/>
        <v>-0.60300123630502012</v>
      </c>
      <c r="D21" s="189" t="str" cm="1">
        <f t="array" ref="D21">INDEX(_xlfn.TEXTSPLIT(B21,":"),,1)</f>
        <v>OpEx as % Revenue</v>
      </c>
      <c r="E21" s="21" t="str" cm="1">
        <f t="array" ref="E21">IF(ISNA(_xlfn.XMATCH(INDEX(_xlfn.TEXTSPLIT(B21,":"),,1),Scenarios,0)),"Historical",INDEX(_xlfn.TEXTSPLIT(B21,":"),,1))</f>
        <v>Historical</v>
      </c>
      <c r="F21" s="20">
        <f>'Consolidated Model'!C24/'Consolidated Model'!C10</f>
        <v>-1.1431646932185144</v>
      </c>
      <c r="G21" s="20">
        <f>'Consolidated Model'!D24/'Consolidated Model'!D10</f>
        <v>-0.97127706584180296</v>
      </c>
      <c r="H21" s="20">
        <f>'Consolidated Model'!E24/'Consolidated Model'!E10</f>
        <v>-0.79157088122605368</v>
      </c>
      <c r="I21" s="20">
        <f>'Consolidated Model'!F24/'Consolidated Model'!F10</f>
        <v>-0.72250770811921894</v>
      </c>
      <c r="J21" s="20">
        <f ca="1">'Consolidated Model'!G24/'Consolidated Model'!G10</f>
        <v>-0.67874818812986604</v>
      </c>
      <c r="K21" s="20">
        <f ca="1">'Consolidated Model'!H24/'Consolidated Model'!H10</f>
        <v>-0.63914069269295404</v>
      </c>
      <c r="L21" s="20">
        <f ca="1">'Consolidated Model'!I24/'Consolidated Model'!I10</f>
        <v>-0.60193987837790308</v>
      </c>
      <c r="M21" s="20">
        <f ca="1">'Consolidated Model'!J24/'Consolidated Model'!J10</f>
        <v>-0.56482262011428952</v>
      </c>
      <c r="N21" s="20">
        <f ca="1">'Consolidated Model'!K24/'Consolidated Model'!K10</f>
        <v>-0.53035480221008802</v>
      </c>
      <c r="S21" s="188"/>
      <c r="T21" s="188"/>
      <c r="U21" s="188"/>
      <c r="V21" s="188"/>
      <c r="W21" s="188"/>
      <c r="X21" s="188"/>
      <c r="Y21" s="188"/>
      <c r="Z21" s="188"/>
      <c r="AA21" s="188"/>
    </row>
    <row r="22" spans="2:27" x14ac:dyDescent="0.25">
      <c r="B22" s="3" t="s">
        <v>365</v>
      </c>
      <c r="C22" s="20">
        <v>-0.6105709306995678</v>
      </c>
      <c r="D22" s="189" t="s">
        <v>403</v>
      </c>
      <c r="E22" s="21" t="s">
        <v>417</v>
      </c>
      <c r="F22" s="20">
        <v>-1.1431646932185144</v>
      </c>
      <c r="G22" s="20">
        <v>-0.97127706584180296</v>
      </c>
      <c r="H22" s="20">
        <v>-0.79157088122605368</v>
      </c>
      <c r="I22" s="20">
        <v>-0.72250770811921894</v>
      </c>
      <c r="J22" s="20">
        <v>-0.68175084844765499</v>
      </c>
      <c r="K22" s="20">
        <v>-0.64490959906677559</v>
      </c>
      <c r="L22" s="20">
        <v>-0.61000478338430775</v>
      </c>
      <c r="M22" s="20">
        <v>-0.57466225798420789</v>
      </c>
      <c r="N22" s="20">
        <v>-0.54152716461489259</v>
      </c>
      <c r="S22" s="20"/>
      <c r="T22" s="20"/>
      <c r="U22" s="20"/>
      <c r="V22" s="20"/>
      <c r="W22" s="20"/>
      <c r="X22" s="20"/>
      <c r="Y22" s="20"/>
      <c r="Z22" s="20"/>
      <c r="AA22" s="20"/>
    </row>
    <row r="23" spans="2:27" x14ac:dyDescent="0.25">
      <c r="B23" s="3" t="s">
        <v>369</v>
      </c>
      <c r="C23" s="20">
        <v>-0.66652318218532147</v>
      </c>
      <c r="D23" s="189" t="s">
        <v>403</v>
      </c>
      <c r="E23" s="21" t="s">
        <v>417</v>
      </c>
      <c r="F23" s="20">
        <v>-1.1431646932185144</v>
      </c>
      <c r="G23" s="20">
        <v>-0.97127706584180296</v>
      </c>
      <c r="H23" s="20">
        <v>-0.79157088122605368</v>
      </c>
      <c r="I23" s="20">
        <v>-0.72250770811921894</v>
      </c>
      <c r="J23" s="20">
        <v>-0.701200879378717</v>
      </c>
      <c r="K23" s="20">
        <v>-0.68385898313630511</v>
      </c>
      <c r="L23" s="20">
        <v>-0.66689282256218341</v>
      </c>
      <c r="M23" s="20">
        <v>-0.64902267476586273</v>
      </c>
      <c r="N23" s="20">
        <v>-0.63164055108353889</v>
      </c>
      <c r="S23" s="20"/>
      <c r="T23" s="20"/>
      <c r="U23" s="20"/>
      <c r="V23" s="20"/>
      <c r="W23" s="20"/>
      <c r="X23" s="20"/>
      <c r="Y23" s="20"/>
      <c r="Z23" s="20"/>
      <c r="AA23" s="20"/>
    </row>
    <row r="24" spans="2:27" x14ac:dyDescent="0.25">
      <c r="B24" s="3" t="s">
        <v>370</v>
      </c>
      <c r="C24" s="20">
        <v>-0.60300123630502012</v>
      </c>
      <c r="D24" s="189" t="s">
        <v>403</v>
      </c>
      <c r="E24" s="21" t="s">
        <v>417</v>
      </c>
      <c r="F24" s="20">
        <v>-1.1431646932185144</v>
      </c>
      <c r="G24" s="20">
        <v>-0.97127706584180296</v>
      </c>
      <c r="H24" s="20">
        <v>-0.79157088122605368</v>
      </c>
      <c r="I24" s="20">
        <v>-0.72250770811921894</v>
      </c>
      <c r="J24" s="20">
        <v>-0.67874818812986604</v>
      </c>
      <c r="K24" s="20">
        <v>-0.63914069269295404</v>
      </c>
      <c r="L24" s="20">
        <v>-0.60193987837790308</v>
      </c>
      <c r="M24" s="20">
        <v>-0.56482262011428952</v>
      </c>
      <c r="N24" s="20">
        <v>-0.53035480221008802</v>
      </c>
      <c r="S24" s="20"/>
      <c r="T24" s="20"/>
      <c r="U24" s="20"/>
      <c r="V24" s="20"/>
      <c r="W24" s="20"/>
      <c r="X24" s="20"/>
      <c r="Y24" s="20"/>
      <c r="Z24" s="20"/>
      <c r="AA24" s="20"/>
    </row>
    <row r="25" spans="2:27" x14ac:dyDescent="0.25">
      <c r="B25" s="3" t="s">
        <v>520</v>
      </c>
      <c r="C25" s="15"/>
      <c r="D25" s="190"/>
      <c r="E25" s="21"/>
      <c r="R25" s="15"/>
    </row>
    <row r="26" spans="2:27" x14ac:dyDescent="0.25">
      <c r="B26" s="8" t="s">
        <v>71</v>
      </c>
      <c r="C26" s="8"/>
      <c r="D26" s="189" t="str" cm="1">
        <f t="array" ref="D26">INDEX(_xlfn.TEXTSPLIT(B26,":"),,1)</f>
        <v>EBITDA</v>
      </c>
      <c r="E26" s="21" t="str" cm="1">
        <f t="array" ref="E26">IF(ISNA(_xlfn.XMATCH(INDEX(_xlfn.TEXTSPLIT(B26,":"),,1),Scenarios,0)),"Historical",INDEX(_xlfn.TEXTSPLIT(B26,":"),,1))</f>
        <v>Historical</v>
      </c>
      <c r="F26" s="11">
        <f>'Consolidated Model'!C29</f>
        <v>-698</v>
      </c>
      <c r="G26" s="11">
        <f>'Consolidated Model'!D29</f>
        <v>-432</v>
      </c>
      <c r="H26" s="11">
        <f>'Consolidated Model'!E29</f>
        <v>14</v>
      </c>
      <c r="I26" s="11">
        <f>'Consolidated Model'!F29</f>
        <v>245</v>
      </c>
      <c r="J26" s="11">
        <f ca="1">'Consolidated Model'!G29</f>
        <v>422.9961160754824</v>
      </c>
      <c r="K26" s="11">
        <f ca="1">'Consolidated Model'!H29</f>
        <v>585.03179707928996</v>
      </c>
      <c r="L26" s="11">
        <f ca="1">'Consolidated Model'!I29</f>
        <v>784.39705766824227</v>
      </c>
      <c r="M26" s="11">
        <f ca="1">'Consolidated Model'!J29</f>
        <v>1033.9349606481924</v>
      </c>
      <c r="N26" s="11">
        <f ca="1">'Consolidated Model'!K29</f>
        <v>1333.8407419117934</v>
      </c>
      <c r="T26" s="188"/>
      <c r="U26" s="188"/>
      <c r="V26" s="188"/>
      <c r="W26" s="188"/>
      <c r="X26" s="188"/>
      <c r="Y26" s="188"/>
      <c r="Z26" s="188"/>
      <c r="AA26" s="188"/>
    </row>
    <row r="27" spans="2:27" x14ac:dyDescent="0.25">
      <c r="B27" s="3" t="s">
        <v>365</v>
      </c>
      <c r="C27" s="3"/>
      <c r="D27" s="189" t="s">
        <v>412</v>
      </c>
      <c r="E27" s="21" t="s">
        <v>417</v>
      </c>
      <c r="F27" s="11">
        <v>-698</v>
      </c>
      <c r="G27" s="11">
        <v>-432</v>
      </c>
      <c r="H27" s="11">
        <v>14</v>
      </c>
      <c r="I27" s="11">
        <v>245</v>
      </c>
      <c r="J27" s="11">
        <v>406.46976444037819</v>
      </c>
      <c r="K27" s="11">
        <v>538.87604505489935</v>
      </c>
      <c r="L27" s="11">
        <v>699.66328797169842</v>
      </c>
      <c r="M27" s="11">
        <v>896.83234086821517</v>
      </c>
      <c r="N27" s="11">
        <v>1129.4592771970001</v>
      </c>
      <c r="T27" s="11"/>
      <c r="U27" s="11"/>
      <c r="V27" s="11"/>
      <c r="W27" s="11"/>
      <c r="X27" s="11"/>
      <c r="Y27" s="11"/>
      <c r="Z27" s="11"/>
      <c r="AA27" s="11"/>
    </row>
    <row r="28" spans="2:27" x14ac:dyDescent="0.25">
      <c r="B28" s="3" t="s">
        <v>369</v>
      </c>
      <c r="C28" s="3"/>
      <c r="D28" s="189" t="s">
        <v>412</v>
      </c>
      <c r="E28" s="21" t="s">
        <v>417</v>
      </c>
      <c r="F28" s="11">
        <v>-698</v>
      </c>
      <c r="G28" s="11">
        <v>-432</v>
      </c>
      <c r="H28" s="11">
        <v>14</v>
      </c>
      <c r="I28" s="11">
        <v>245</v>
      </c>
      <c r="J28" s="11">
        <v>313.17002371151011</v>
      </c>
      <c r="K28" s="11">
        <v>365.87358748666071</v>
      </c>
      <c r="L28" s="11">
        <v>437.03820659249368</v>
      </c>
      <c r="M28" s="11">
        <v>523.17232506699486</v>
      </c>
      <c r="N28" s="11">
        <v>629.82835031560614</v>
      </c>
      <c r="T28" s="11"/>
      <c r="U28" s="11"/>
      <c r="V28" s="11"/>
      <c r="W28" s="11"/>
      <c r="X28" s="11"/>
      <c r="Y28" s="11"/>
      <c r="Z28" s="11"/>
      <c r="AA28" s="11"/>
    </row>
    <row r="29" spans="2:27" x14ac:dyDescent="0.25">
      <c r="B29" s="3" t="s">
        <v>370</v>
      </c>
      <c r="C29" s="3"/>
      <c r="D29" s="189" t="s">
        <v>412</v>
      </c>
      <c r="E29" s="21" t="s">
        <v>417</v>
      </c>
      <c r="F29" s="11">
        <v>-698</v>
      </c>
      <c r="G29" s="11">
        <v>-432</v>
      </c>
      <c r="H29" s="11">
        <v>14</v>
      </c>
      <c r="I29" s="11">
        <v>245</v>
      </c>
      <c r="J29" s="11">
        <v>422.9961160754824</v>
      </c>
      <c r="K29" s="11">
        <v>585.03179707928996</v>
      </c>
      <c r="L29" s="11">
        <v>784.39705766824227</v>
      </c>
      <c r="M29" s="11">
        <v>1033.9349606481924</v>
      </c>
      <c r="N29" s="11">
        <v>1333.8407419117934</v>
      </c>
      <c r="T29" s="11"/>
      <c r="U29" s="11"/>
      <c r="V29" s="11"/>
      <c r="W29" s="11"/>
      <c r="X29" s="11"/>
      <c r="Y29" s="11"/>
      <c r="Z29" s="11"/>
      <c r="AA29" s="11"/>
    </row>
    <row r="30" spans="2:27" x14ac:dyDescent="0.25">
      <c r="B30" s="3" t="s">
        <v>520</v>
      </c>
      <c r="C30" s="15"/>
      <c r="D30" s="190"/>
      <c r="E30" s="21"/>
      <c r="R30" s="15"/>
    </row>
    <row r="31" spans="2:27" x14ac:dyDescent="0.25">
      <c r="B31" s="8" t="s">
        <v>73</v>
      </c>
      <c r="C31" s="20">
        <f t="shared" ref="C31" ca="1" si="3">AVERAGE(J31:N31)</f>
        <v>0.41170953877633121</v>
      </c>
      <c r="D31" s="189" t="str" cm="1">
        <f t="array" ref="D31">INDEX(_xlfn.TEXTSPLIT(B31,":"),,1)</f>
        <v>EBITDA Margin</v>
      </c>
      <c r="E31" s="21" t="str" cm="1">
        <f t="array" ref="E31">IF(ISNA(_xlfn.XMATCH(INDEX(_xlfn.TEXTSPLIT(B31,":"),,1),Scenarios,0)),"Historical",INDEX(_xlfn.TEXTSPLIT(B31,":"),,1))</f>
        <v>Historical</v>
      </c>
      <c r="G31" s="20">
        <f t="shared" ref="G31:N31" si="4">(G26/F26)-1</f>
        <v>-0.38108882521489973</v>
      </c>
      <c r="H31" s="20">
        <f t="shared" si="4"/>
        <v>-1.0324074074074074</v>
      </c>
      <c r="I31" s="20">
        <f t="shared" si="4"/>
        <v>16.5</v>
      </c>
      <c r="J31" s="20">
        <f t="shared" ca="1" si="4"/>
        <v>0.72651475949176492</v>
      </c>
      <c r="K31" s="20">
        <f t="shared" ca="1" si="4"/>
        <v>0.38306659292089762</v>
      </c>
      <c r="L31" s="20">
        <f t="shared" ca="1" si="4"/>
        <v>0.34077679467041366</v>
      </c>
      <c r="M31" s="20">
        <f t="shared" ca="1" si="4"/>
        <v>0.3181270257715465</v>
      </c>
      <c r="N31" s="20">
        <f t="shared" ca="1" si="4"/>
        <v>0.29006252102703312</v>
      </c>
      <c r="T31" s="188"/>
      <c r="U31" s="188"/>
      <c r="V31" s="188"/>
      <c r="W31" s="188"/>
      <c r="X31" s="188"/>
      <c r="Y31" s="188"/>
      <c r="Z31" s="188"/>
      <c r="AA31" s="188"/>
    </row>
    <row r="32" spans="2:27" x14ac:dyDescent="0.25">
      <c r="B32" s="3" t="s">
        <v>365</v>
      </c>
      <c r="C32" s="20">
        <v>0.36487506770308198</v>
      </c>
      <c r="D32" s="189" t="s">
        <v>414</v>
      </c>
      <c r="E32" s="21" t="s">
        <v>417</v>
      </c>
      <c r="G32" s="20">
        <v>-0.38108882521489973</v>
      </c>
      <c r="H32" s="20">
        <v>-1.0324074074074074</v>
      </c>
      <c r="I32" s="20">
        <v>16.5</v>
      </c>
      <c r="J32" s="20">
        <v>0.65906026302195175</v>
      </c>
      <c r="K32" s="20">
        <v>0.32574693666776477</v>
      </c>
      <c r="L32" s="20">
        <v>0.29837519108948052</v>
      </c>
      <c r="M32" s="20">
        <v>0.28180562891630845</v>
      </c>
      <c r="N32" s="20">
        <v>0.25938731881990451</v>
      </c>
      <c r="T32" s="20"/>
      <c r="U32" s="20"/>
      <c r="V32" s="20"/>
      <c r="W32" s="20"/>
      <c r="X32" s="20"/>
      <c r="Y32" s="20"/>
      <c r="Z32" s="20"/>
      <c r="AA32" s="20"/>
    </row>
    <row r="33" spans="2:27" x14ac:dyDescent="0.25">
      <c r="B33" s="3" t="s">
        <v>369</v>
      </c>
      <c r="C33" s="20">
        <v>0.20839833180004677</v>
      </c>
      <c r="D33" s="189" t="s">
        <v>414</v>
      </c>
      <c r="E33" s="21" t="s">
        <v>417</v>
      </c>
      <c r="G33" s="20">
        <v>-0.38108882521489973</v>
      </c>
      <c r="H33" s="20">
        <v>-1.0324074074074074</v>
      </c>
      <c r="I33" s="20">
        <v>16.5</v>
      </c>
      <c r="J33" s="20">
        <v>0.27824499474085762</v>
      </c>
      <c r="K33" s="20">
        <v>0.16829057631550559</v>
      </c>
      <c r="L33" s="20">
        <v>0.19450603033329794</v>
      </c>
      <c r="M33" s="20">
        <v>0.19708601484999</v>
      </c>
      <c r="N33" s="20">
        <v>0.20386404276058268</v>
      </c>
      <c r="T33" s="20"/>
      <c r="U33" s="20"/>
      <c r="V33" s="20"/>
      <c r="W33" s="20"/>
      <c r="X33" s="20"/>
      <c r="Y33" s="20"/>
      <c r="Z33" s="20"/>
      <c r="AA33" s="20"/>
    </row>
    <row r="34" spans="2:27" x14ac:dyDescent="0.25">
      <c r="B34" s="3" t="s">
        <v>370</v>
      </c>
      <c r="C34" s="20">
        <v>0.41170953877633121</v>
      </c>
      <c r="D34" s="189" t="s">
        <v>414</v>
      </c>
      <c r="E34" s="21" t="s">
        <v>417</v>
      </c>
      <c r="G34" s="20">
        <v>-0.38108882521489973</v>
      </c>
      <c r="H34" s="20">
        <v>-1.0324074074074074</v>
      </c>
      <c r="I34" s="20">
        <v>16.5</v>
      </c>
      <c r="J34" s="20">
        <v>0.72651475949176492</v>
      </c>
      <c r="K34" s="20">
        <v>0.38306659292089762</v>
      </c>
      <c r="L34" s="20">
        <v>0.34077679467041366</v>
      </c>
      <c r="M34" s="20">
        <v>0.3181270257715465</v>
      </c>
      <c r="N34" s="20">
        <v>0.29006252102703312</v>
      </c>
      <c r="T34" s="20"/>
      <c r="U34" s="20"/>
      <c r="V34" s="20"/>
      <c r="W34" s="20"/>
      <c r="X34" s="20"/>
      <c r="Y34" s="20"/>
      <c r="Z34" s="20"/>
      <c r="AA34" s="20"/>
    </row>
    <row r="35" spans="2:27" x14ac:dyDescent="0.25">
      <c r="B35" s="3" t="s">
        <v>520</v>
      </c>
      <c r="C35" s="15"/>
      <c r="D35" s="190"/>
      <c r="E35" s="21"/>
      <c r="R35" s="15"/>
    </row>
    <row r="36" spans="2:27" x14ac:dyDescent="0.25">
      <c r="B36" s="8" t="s">
        <v>399</v>
      </c>
      <c r="C36" s="198">
        <f ca="1">AVERAGE(J36:N36)</f>
        <v>4.5671004041527041</v>
      </c>
      <c r="D36" s="189" t="str" cm="1">
        <f t="array" ref="D36">INDEX(_xlfn.TEXTSPLIT(B36,":"),,1)</f>
        <v>EPS</v>
      </c>
      <c r="E36" s="21" t="str" cm="1">
        <f t="array" ref="E36">IF(ISNA(_xlfn.XMATCH(INDEX(_xlfn.TEXTSPLIT(B36,":"),,1),Scenarios,0)),"Historical",INDEX(_xlfn.TEXTSPLIT(B36,":"),,1))</f>
        <v>Historical</v>
      </c>
      <c r="F36" s="187">
        <f>'Consolidated Model'!C44</f>
        <v>-5.16</v>
      </c>
      <c r="G36" s="187">
        <f>'Consolidated Model'!D44</f>
        <v>-2.17</v>
      </c>
      <c r="H36" s="187">
        <f>'Consolidated Model'!E44</f>
        <v>0.16</v>
      </c>
      <c r="I36" s="281">
        <f>'Consolidated Model'!F44</f>
        <v>1.33</v>
      </c>
      <c r="J36" s="187">
        <f ca="1">'Consolidated Model'!G44</f>
        <v>2.591165579832726</v>
      </c>
      <c r="K36" s="187">
        <f ca="1">'Consolidated Model'!H44</f>
        <v>3.409077427451376</v>
      </c>
      <c r="L36" s="187">
        <f ca="1">'Consolidated Model'!I44</f>
        <v>4.3666196858515693</v>
      </c>
      <c r="M36" s="187">
        <f ca="1">'Consolidated Model'!J44</f>
        <v>5.5711059467725583</v>
      </c>
      <c r="N36" s="187">
        <f ca="1">'Consolidated Model'!K44</f>
        <v>6.8975333808552923</v>
      </c>
      <c r="S36" s="188"/>
      <c r="T36" s="188"/>
      <c r="U36" s="188"/>
      <c r="V36" s="188"/>
      <c r="W36" s="188"/>
      <c r="X36" s="188"/>
      <c r="Y36" s="188"/>
      <c r="Z36" s="188"/>
      <c r="AA36" s="188"/>
    </row>
    <row r="37" spans="2:27" x14ac:dyDescent="0.25">
      <c r="B37" s="3" t="s">
        <v>365</v>
      </c>
      <c r="C37" s="198">
        <v>4.1125506919777477</v>
      </c>
      <c r="D37" s="189" t="s">
        <v>415</v>
      </c>
      <c r="E37" s="21" t="s">
        <v>417</v>
      </c>
      <c r="F37" s="187">
        <v>-5.16</v>
      </c>
      <c r="G37" s="187">
        <v>-2.17</v>
      </c>
      <c r="H37" s="187">
        <v>0.16</v>
      </c>
      <c r="I37" s="281">
        <v>1.33</v>
      </c>
      <c r="J37" s="187">
        <v>2.4644125230992344</v>
      </c>
      <c r="K37" s="187">
        <v>3.1184164979527811</v>
      </c>
      <c r="L37" s="187">
        <v>3.8896629884120872</v>
      </c>
      <c r="M37" s="187">
        <v>4.8388331657361219</v>
      </c>
      <c r="N37" s="187">
        <v>5.853670817809852</v>
      </c>
      <c r="S37" s="18"/>
      <c r="T37" s="18"/>
      <c r="U37" s="18"/>
      <c r="V37" s="18"/>
      <c r="W37" s="18"/>
      <c r="X37" s="18"/>
      <c r="Y37" s="18"/>
      <c r="Z37" s="18"/>
      <c r="AA37" s="18"/>
    </row>
    <row r="38" spans="2:27" x14ac:dyDescent="0.25">
      <c r="B38" s="3" t="s">
        <v>369</v>
      </c>
      <c r="C38" s="198">
        <v>2.6175176809369334</v>
      </c>
      <c r="D38" s="189" t="s">
        <v>415</v>
      </c>
      <c r="E38" s="21" t="s">
        <v>417</v>
      </c>
      <c r="F38" s="187">
        <v>-5.16</v>
      </c>
      <c r="G38" s="187">
        <v>-2.17</v>
      </c>
      <c r="H38" s="187">
        <v>0.16</v>
      </c>
      <c r="I38" s="281">
        <v>1.33</v>
      </c>
      <c r="J38" s="187">
        <v>1.917730057442778</v>
      </c>
      <c r="K38" s="187">
        <v>2.1109066680587416</v>
      </c>
      <c r="L38" s="187">
        <v>2.4200767537388232</v>
      </c>
      <c r="M38" s="187">
        <v>2.8264313683796507</v>
      </c>
      <c r="N38" s="187">
        <v>3.2697889326196621</v>
      </c>
      <c r="S38" s="18"/>
      <c r="T38" s="18"/>
      <c r="U38" s="18"/>
      <c r="V38" s="18"/>
      <c r="W38" s="18"/>
      <c r="X38" s="18"/>
      <c r="Y38" s="18"/>
      <c r="Z38" s="18"/>
      <c r="AA38" s="18"/>
    </row>
    <row r="39" spans="2:27" x14ac:dyDescent="0.25">
      <c r="B39" s="3" t="s">
        <v>370</v>
      </c>
      <c r="C39" s="198">
        <v>4.5339895220088895</v>
      </c>
      <c r="D39" s="189" t="s">
        <v>415</v>
      </c>
      <c r="E39" s="21" t="s">
        <v>417</v>
      </c>
      <c r="F39" s="187">
        <v>-5.16</v>
      </c>
      <c r="G39" s="187">
        <v>-2.17</v>
      </c>
      <c r="H39" s="187">
        <v>0.16</v>
      </c>
      <c r="I39" s="281">
        <v>1.33</v>
      </c>
      <c r="J39" s="187">
        <v>2.591165579832726</v>
      </c>
      <c r="K39" s="187">
        <v>3.409077427451376</v>
      </c>
      <c r="L39" s="187">
        <v>4.3666196858515693</v>
      </c>
      <c r="M39" s="187">
        <v>5.5711059467725583</v>
      </c>
      <c r="N39" s="187">
        <v>6.8975333808552923</v>
      </c>
      <c r="S39" s="18"/>
      <c r="T39" s="18"/>
      <c r="U39" s="18"/>
      <c r="V39" s="18"/>
      <c r="W39" s="18"/>
      <c r="X39" s="18"/>
      <c r="Y39" s="18"/>
      <c r="Z39" s="18"/>
      <c r="AA39" s="18"/>
    </row>
    <row r="40" spans="2:27" x14ac:dyDescent="0.25">
      <c r="B40" s="3" t="s">
        <v>520</v>
      </c>
      <c r="C40" s="15"/>
      <c r="D40" s="190"/>
      <c r="E40" s="21"/>
      <c r="R40" s="15"/>
    </row>
    <row r="41" spans="2:27" x14ac:dyDescent="0.25">
      <c r="B41" s="8" t="s">
        <v>422</v>
      </c>
      <c r="C41" s="8"/>
      <c r="D41" s="189" t="str" cm="1">
        <f t="array" ref="D41">INDEX(_xlfn.TEXTSPLIT(B41,":"),,1)</f>
        <v>FCF before Buybacks</v>
      </c>
      <c r="E41" s="21" t="str" cm="1">
        <f t="array" ref="E41">IF(ISNA(_xlfn.XMATCH(INDEX(_xlfn.TEXTSPLIT(B41,":"),,1),Scenarios,0)),"Historical",INDEX(_xlfn.TEXTSPLIT(B41,":"),,1))</f>
        <v>Historical</v>
      </c>
      <c r="F41" s="11">
        <f>'Consolidated Model'!C113-'Consolidated Model'!C108</f>
        <v>-2</v>
      </c>
      <c r="G41" s="11">
        <f>'Consolidated Model'!D113-'Consolidated Model'!D108</f>
        <v>71</v>
      </c>
      <c r="H41" s="11">
        <f>'Consolidated Model'!E113-'Consolidated Model'!E108</f>
        <v>73</v>
      </c>
      <c r="I41" s="11">
        <f>'Consolidated Model'!F113-'Consolidated Model'!F108</f>
        <v>522</v>
      </c>
      <c r="J41" s="11">
        <f ca="1">'Consolidated Model'!G113-'Consolidated Model'!G108</f>
        <v>491.87102291655742</v>
      </c>
      <c r="K41" s="11">
        <f ca="1">'Consolidated Model'!H113-'Consolidated Model'!H108</f>
        <v>1106.733256520195</v>
      </c>
      <c r="L41" s="11">
        <f ca="1">'Consolidated Model'!I113-'Consolidated Model'!I108</f>
        <v>1365.166150064874</v>
      </c>
      <c r="M41" s="11">
        <f ca="1">'Consolidated Model'!J113-'Consolidated Model'!J108</f>
        <v>1624.2082221866528</v>
      </c>
      <c r="N41" s="11">
        <f ca="1">'Consolidated Model'!K113-'Consolidated Model'!K108</f>
        <v>1960.6138417112243</v>
      </c>
      <c r="S41" s="188"/>
      <c r="T41" s="188"/>
      <c r="U41" s="188"/>
      <c r="V41" s="188"/>
      <c r="W41" s="188"/>
      <c r="X41" s="188"/>
      <c r="Y41" s="188"/>
      <c r="Z41" s="188"/>
      <c r="AA41" s="188"/>
    </row>
    <row r="42" spans="2:27" x14ac:dyDescent="0.25">
      <c r="B42" s="3" t="s">
        <v>365</v>
      </c>
      <c r="C42" s="3"/>
      <c r="D42" s="189" t="s">
        <v>424</v>
      </c>
      <c r="E42" s="21" t="s">
        <v>417</v>
      </c>
      <c r="F42" s="11">
        <v>-2</v>
      </c>
      <c r="G42" s="11">
        <v>71</v>
      </c>
      <c r="H42" s="11">
        <v>73</v>
      </c>
      <c r="I42" s="11">
        <v>522</v>
      </c>
      <c r="J42" s="11">
        <v>447.32309898523124</v>
      </c>
      <c r="K42" s="11">
        <v>1024.5393993951534</v>
      </c>
      <c r="L42" s="11">
        <v>1234.682279939519</v>
      </c>
      <c r="M42" s="11">
        <v>1428.616523288603</v>
      </c>
      <c r="N42" s="11">
        <v>1683.5364652388801</v>
      </c>
      <c r="S42" s="11"/>
      <c r="T42" s="11"/>
      <c r="U42" s="11"/>
      <c r="V42" s="11"/>
      <c r="W42" s="11"/>
      <c r="X42" s="11"/>
      <c r="Y42" s="11"/>
      <c r="Z42" s="11"/>
      <c r="AA42" s="11"/>
    </row>
    <row r="43" spans="2:27" x14ac:dyDescent="0.25">
      <c r="B43" s="3" t="s">
        <v>369</v>
      </c>
      <c r="C43" s="3"/>
      <c r="D43" s="189" t="s">
        <v>424</v>
      </c>
      <c r="E43" s="21" t="s">
        <v>417</v>
      </c>
      <c r="F43" s="11">
        <v>-2</v>
      </c>
      <c r="G43" s="11">
        <v>71</v>
      </c>
      <c r="H43" s="11">
        <v>73</v>
      </c>
      <c r="I43" s="11">
        <v>522</v>
      </c>
      <c r="J43" s="11">
        <v>339.32582166041766</v>
      </c>
      <c r="K43" s="11">
        <v>845.58197670929576</v>
      </c>
      <c r="L43" s="11">
        <v>962.36986570239708</v>
      </c>
      <c r="M43" s="11">
        <v>1043.5386476698163</v>
      </c>
      <c r="N43" s="11">
        <v>1171.441819489824</v>
      </c>
      <c r="S43" s="11"/>
      <c r="T43" s="11"/>
      <c r="U43" s="11"/>
      <c r="V43" s="11"/>
      <c r="W43" s="11"/>
      <c r="X43" s="11"/>
      <c r="Y43" s="11"/>
      <c r="Z43" s="11"/>
      <c r="AA43" s="11"/>
    </row>
    <row r="44" spans="2:27" x14ac:dyDescent="0.25">
      <c r="B44" s="3" t="s">
        <v>370</v>
      </c>
      <c r="C44" s="3"/>
      <c r="D44" s="189" t="s">
        <v>424</v>
      </c>
      <c r="E44" s="21" t="s">
        <v>417</v>
      </c>
      <c r="F44" s="11">
        <v>-2</v>
      </c>
      <c r="G44" s="11">
        <v>71</v>
      </c>
      <c r="H44" s="11">
        <v>73</v>
      </c>
      <c r="I44" s="11">
        <v>522</v>
      </c>
      <c r="J44" s="11">
        <v>491.87102291655742</v>
      </c>
      <c r="K44" s="11">
        <v>1106.733256520195</v>
      </c>
      <c r="L44" s="11">
        <v>1365.166150064874</v>
      </c>
      <c r="M44" s="11">
        <v>1624.2082221866528</v>
      </c>
      <c r="N44" s="11">
        <v>1960.6138417112243</v>
      </c>
      <c r="S44" s="11"/>
      <c r="T44" s="11"/>
      <c r="U44" s="11"/>
      <c r="V44" s="11"/>
      <c r="W44" s="11"/>
      <c r="X44" s="11"/>
      <c r="Y44" s="11"/>
      <c r="Z44" s="11"/>
      <c r="AA44" s="11"/>
    </row>
    <row r="45" spans="2:27" x14ac:dyDescent="0.25">
      <c r="B45" s="3" t="s">
        <v>520</v>
      </c>
      <c r="C45" s="15"/>
      <c r="D45" s="190"/>
      <c r="E45" s="21"/>
      <c r="R45" s="15"/>
    </row>
    <row r="46" spans="2:27" x14ac:dyDescent="0.25">
      <c r="B46" s="8" t="s">
        <v>423</v>
      </c>
      <c r="C46" s="20">
        <f t="shared" ref="C46:C49" ca="1" si="5">AVERAGE(J46:N46)</f>
        <v>0.31447393358227033</v>
      </c>
      <c r="D46" s="189" t="str" cm="1">
        <f t="array" ref="D46">INDEX(_xlfn.TEXTSPLIT(B46,":"),,1)</f>
        <v>FCF Margin before Buybacks</v>
      </c>
      <c r="E46" s="21" t="str" cm="1">
        <f t="array" ref="E46">IF(ISNA(_xlfn.XMATCH(INDEX(_xlfn.TEXTSPLIT(B46,":"),,1),Scenarios,0)),"Historical",INDEX(_xlfn.TEXTSPLIT(B46,":"),,1))</f>
        <v>Historical</v>
      </c>
      <c r="F46" s="20">
        <f t="shared" ref="F46:N46" si="6">F41/F11</f>
        <v>-1.076426264800861E-3</v>
      </c>
      <c r="G46" s="20">
        <f t="shared" si="6"/>
        <v>3.1374281926646048E-2</v>
      </c>
      <c r="H46" s="20">
        <f t="shared" si="6"/>
        <v>2.7969348659003832E-2</v>
      </c>
      <c r="I46" s="20">
        <f t="shared" si="6"/>
        <v>0.17882836587872558</v>
      </c>
      <c r="J46" s="20">
        <f t="shared" ca="1" si="6"/>
        <v>0.15199426130432986</v>
      </c>
      <c r="K46" s="20">
        <f t="shared" ca="1" si="6"/>
        <v>0.3104934322540443</v>
      </c>
      <c r="L46" s="20">
        <f t="shared" ca="1" si="6"/>
        <v>0.34745166157003188</v>
      </c>
      <c r="M46" s="20">
        <f t="shared" ca="1" si="6"/>
        <v>0.36767195145049192</v>
      </c>
      <c r="N46" s="20">
        <f t="shared" ca="1" si="6"/>
        <v>0.39475836133245357</v>
      </c>
      <c r="T46" s="188"/>
      <c r="U46" s="188"/>
      <c r="V46" s="188"/>
      <c r="W46" s="188"/>
      <c r="X46" s="188"/>
      <c r="Y46" s="188"/>
      <c r="Z46" s="188"/>
      <c r="AA46" s="188"/>
    </row>
    <row r="47" spans="2:27" x14ac:dyDescent="0.25">
      <c r="B47" s="3" t="s">
        <v>365</v>
      </c>
      <c r="C47" s="20">
        <f t="shared" si="5"/>
        <v>0.30485493399574476</v>
      </c>
      <c r="D47" s="189" t="str" cm="1">
        <f t="array" ref="D47">INDEX(_xlfn.TEXTSPLIT(B46,":"),,1)</f>
        <v>FCF Margin before Buybacks</v>
      </c>
      <c r="E47" s="21" t="str" cm="1">
        <f t="array" ref="E47">IF(ISNA(_xlfn.XMATCH(INDEX(_xlfn.TEXTSPLIT(B47,":"),,1),Scenarios,0)),"Historical",INDEX(_xlfn.TEXTSPLIT(B47,":"),,1))</f>
        <v>Base</v>
      </c>
      <c r="F47" s="20">
        <v>-1.076426264800861E-3</v>
      </c>
      <c r="G47" s="20">
        <v>3.1374281926646048E-2</v>
      </c>
      <c r="H47" s="20">
        <v>2.7969348659003832E-2</v>
      </c>
      <c r="I47" s="20">
        <v>0.17882836587872558</v>
      </c>
      <c r="J47" s="20">
        <v>0.14032475845925349</v>
      </c>
      <c r="K47" s="20">
        <v>0.30459787847998238</v>
      </c>
      <c r="L47" s="20">
        <v>0.34030607669556662</v>
      </c>
      <c r="M47" s="20">
        <v>0.35718785947110615</v>
      </c>
      <c r="N47" s="20">
        <v>0.38185809687281508</v>
      </c>
      <c r="T47" s="20"/>
      <c r="U47" s="20"/>
      <c r="V47" s="20"/>
      <c r="W47" s="20"/>
      <c r="X47" s="20"/>
      <c r="Y47" s="20"/>
      <c r="Z47" s="20"/>
      <c r="AA47" s="20"/>
    </row>
    <row r="48" spans="2:27" x14ac:dyDescent="0.25">
      <c r="B48" s="3" t="s">
        <v>369</v>
      </c>
      <c r="C48" s="20">
        <f t="shared" si="5"/>
        <v>0.24249466155363986</v>
      </c>
      <c r="D48" s="189" t="str" cm="1">
        <f t="array" ref="D48">INDEX(_xlfn.TEXTSPLIT(B46,":"),,1)</f>
        <v>FCF Margin before Buybacks</v>
      </c>
      <c r="E48" s="21" t="str" cm="1">
        <f t="array" ref="E48">IF(ISNA(_xlfn.XMATCH(INDEX(_xlfn.TEXTSPLIT(B48,":"),,1),Scenarios,0)),"Historical",INDEX(_xlfn.TEXTSPLIT(B48,":"),,1))</f>
        <v>Pessimistic</v>
      </c>
      <c r="F48" s="20">
        <v>-1.076426264800861E-3</v>
      </c>
      <c r="G48" s="20">
        <v>3.1374281926646048E-2</v>
      </c>
      <c r="H48" s="20">
        <v>2.7969348659003832E-2</v>
      </c>
      <c r="I48" s="20">
        <v>0.17882836587872558</v>
      </c>
      <c r="J48" s="20">
        <v>0.10524279914184829</v>
      </c>
      <c r="K48" s="20">
        <v>0.25686856675364139</v>
      </c>
      <c r="L48" s="20">
        <v>0.2779306281395586</v>
      </c>
      <c r="M48" s="20">
        <v>0.28032419537997039</v>
      </c>
      <c r="N48" s="20">
        <v>0.29210711835318054</v>
      </c>
      <c r="T48" s="20"/>
      <c r="U48" s="20"/>
      <c r="V48" s="20"/>
      <c r="W48" s="20"/>
      <c r="X48" s="20"/>
      <c r="Y48" s="20"/>
      <c r="Z48" s="20"/>
      <c r="AA48" s="20"/>
    </row>
    <row r="49" spans="2:27" x14ac:dyDescent="0.25">
      <c r="B49" s="3" t="s">
        <v>370</v>
      </c>
      <c r="C49" s="20">
        <f t="shared" si="5"/>
        <v>0.31274586209761085</v>
      </c>
      <c r="D49" s="189" t="str" cm="1">
        <f t="array" ref="D49">INDEX(_xlfn.TEXTSPLIT(B46,":"),,1)</f>
        <v>FCF Margin before Buybacks</v>
      </c>
      <c r="E49" s="21" t="str" cm="1">
        <f t="array" ref="E49">IF(ISNA(_xlfn.XMATCH(INDEX(_xlfn.TEXTSPLIT(B49,":"),,1),Scenarios,0)),"Historical",INDEX(_xlfn.TEXTSPLIT(B49,":"),,1))</f>
        <v>Optimistic</v>
      </c>
      <c r="F49" s="20">
        <v>-1.076426264800861E-3</v>
      </c>
      <c r="G49" s="20">
        <v>3.1374281926646048E-2</v>
      </c>
      <c r="H49" s="20">
        <v>2.7969348659003832E-2</v>
      </c>
      <c r="I49" s="20">
        <v>0.17882836587872558</v>
      </c>
      <c r="J49" s="20">
        <v>0.14481713854535558</v>
      </c>
      <c r="K49" s="20">
        <v>0.30903019758972111</v>
      </c>
      <c r="L49" s="20">
        <v>0.34745166157003188</v>
      </c>
      <c r="M49" s="20">
        <v>0.36767195145049192</v>
      </c>
      <c r="N49" s="20">
        <v>0.39475836133245357</v>
      </c>
      <c r="T49" s="20"/>
      <c r="U49" s="20"/>
      <c r="V49" s="20"/>
      <c r="W49" s="20"/>
      <c r="X49" s="20"/>
      <c r="Y49" s="20"/>
      <c r="Z49" s="20"/>
      <c r="AA49" s="20"/>
    </row>
    <row r="50" spans="2:27" x14ac:dyDescent="0.25">
      <c r="B50" s="3" t="s">
        <v>520</v>
      </c>
      <c r="C50" s="15"/>
      <c r="D50" s="190"/>
      <c r="E50" s="21"/>
      <c r="R50" s="1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Module2.RunAllScenarios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7</xdr:col>
                    <xdr:colOff>819150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EE4FC-523B-402D-A80A-DECEC48B385D}">
  <sheetPr codeName="Sheet3">
    <tabColor theme="9" tint="0.79998168889431442"/>
  </sheetPr>
  <dimension ref="A1:N80"/>
  <sheetViews>
    <sheetView showGridLines="0" topLeftCell="A36" zoomScale="80" zoomScaleNormal="80" workbookViewId="0">
      <selection activeCell="G59" sqref="G59"/>
    </sheetView>
  </sheetViews>
  <sheetFormatPr defaultRowHeight="15" x14ac:dyDescent="0.25"/>
  <cols>
    <col min="1" max="1" width="2.7109375" customWidth="1"/>
    <col min="2" max="2" width="43.7109375" bestFit="1" customWidth="1"/>
    <col min="8" max="8" width="2.7109375" customWidth="1"/>
    <col min="14" max="14" width="34.85546875" bestFit="1" customWidth="1"/>
  </cols>
  <sheetData>
    <row r="1" spans="1:14" x14ac:dyDescent="0.25">
      <c r="A1" s="1"/>
    </row>
    <row r="3" spans="1:14" ht="15.75" thickBot="1" x14ac:dyDescent="0.3"/>
    <row r="4" spans="1:14" x14ac:dyDescent="0.25">
      <c r="B4" s="157" t="s">
        <v>372</v>
      </c>
      <c r="N4" s="3"/>
    </row>
    <row r="5" spans="1:14" x14ac:dyDescent="0.25">
      <c r="B5" s="155" t="s">
        <v>371</v>
      </c>
      <c r="N5" s="15"/>
    </row>
    <row r="6" spans="1:14" x14ac:dyDescent="0.25">
      <c r="B6" s="155" t="s">
        <v>368</v>
      </c>
      <c r="N6" s="15"/>
    </row>
    <row r="7" spans="1:14" ht="15.75" thickBot="1" x14ac:dyDescent="0.3">
      <c r="B7" s="156" t="s">
        <v>373</v>
      </c>
      <c r="N7" s="15"/>
    </row>
    <row r="8" spans="1:14" x14ac:dyDescent="0.25">
      <c r="N8" s="3"/>
    </row>
    <row r="9" spans="1:14" x14ac:dyDescent="0.25">
      <c r="B9" s="8" t="s">
        <v>17</v>
      </c>
      <c r="N9" s="3"/>
    </row>
    <row r="10" spans="1:14" x14ac:dyDescent="0.25">
      <c r="B10" s="17" t="s">
        <v>69</v>
      </c>
      <c r="C10" s="34">
        <f>Evaluation!$C$4</f>
        <v>46418</v>
      </c>
      <c r="D10" s="34">
        <f>EOMONTH(C10,12)</f>
        <v>46783</v>
      </c>
      <c r="E10" s="34">
        <f>EOMONTH(D10,12)</f>
        <v>47149</v>
      </c>
      <c r="F10" s="34">
        <f>EOMONTH(E10,12)</f>
        <v>47514</v>
      </c>
      <c r="G10" s="34">
        <f>EOMONTH(F10,12)</f>
        <v>47879</v>
      </c>
      <c r="N10" s="3"/>
    </row>
    <row r="11" spans="1:14" x14ac:dyDescent="0.25">
      <c r="B11" s="2"/>
      <c r="C11" s="56"/>
      <c r="D11" s="56"/>
      <c r="E11" s="56"/>
      <c r="F11" s="56"/>
      <c r="G11" s="56"/>
      <c r="N11" s="15"/>
    </row>
    <row r="12" spans="1:14" x14ac:dyDescent="0.25">
      <c r="B12" s="8" t="s">
        <v>0</v>
      </c>
    </row>
    <row r="13" spans="1:14" x14ac:dyDescent="0.25">
      <c r="B13" s="9" t="s">
        <v>379</v>
      </c>
      <c r="C13" s="159">
        <f ca="1">OFFSET(C13,MATCH(SelectedScenario,Scenarios,0),)</f>
        <v>1.2</v>
      </c>
      <c r="D13" s="159">
        <f ca="1">OFFSET(D13,MATCH(SelectedScenario,Scenarios,0),)</f>
        <v>1.2</v>
      </c>
      <c r="E13" s="159">
        <f ca="1">OFFSET(E13,MATCH(SelectedScenario,Scenarios,0),)</f>
        <v>1.2</v>
      </c>
      <c r="F13" s="159">
        <f ca="1">OFFSET(F13,MATCH(SelectedScenario,Scenarios,0),)</f>
        <v>1.2</v>
      </c>
      <c r="G13" s="159">
        <f ca="1">OFFSET(G13,MATCH(SelectedScenario,Scenarios,0),)</f>
        <v>1.2</v>
      </c>
    </row>
    <row r="14" spans="1:14" x14ac:dyDescent="0.25">
      <c r="B14" s="15" t="s">
        <v>365</v>
      </c>
      <c r="C14" s="162">
        <v>1</v>
      </c>
      <c r="D14" s="162">
        <v>1</v>
      </c>
      <c r="E14" s="162">
        <v>1</v>
      </c>
      <c r="F14" s="162">
        <v>1</v>
      </c>
      <c r="G14" s="162">
        <v>1</v>
      </c>
      <c r="I14" t="s">
        <v>366</v>
      </c>
    </row>
    <row r="15" spans="1:14" x14ac:dyDescent="0.25">
      <c r="B15" s="15" t="s">
        <v>369</v>
      </c>
      <c r="C15" s="162">
        <v>0.75</v>
      </c>
      <c r="D15" s="162">
        <v>0.75</v>
      </c>
      <c r="E15" s="162">
        <v>0.75</v>
      </c>
      <c r="F15" s="162">
        <v>0.75</v>
      </c>
      <c r="G15" s="162">
        <v>0.75</v>
      </c>
    </row>
    <row r="16" spans="1:14" x14ac:dyDescent="0.25">
      <c r="B16" s="15" t="s">
        <v>370</v>
      </c>
      <c r="C16" s="162">
        <v>1.2</v>
      </c>
      <c r="D16" s="162">
        <v>1.2</v>
      </c>
      <c r="E16" s="162">
        <v>1.2</v>
      </c>
      <c r="F16" s="162">
        <v>1.2</v>
      </c>
      <c r="G16" s="162">
        <v>1.2</v>
      </c>
    </row>
    <row r="17" spans="2:9" x14ac:dyDescent="0.25">
      <c r="B17" s="3"/>
      <c r="C17" s="26"/>
      <c r="D17" s="26"/>
      <c r="E17" s="26"/>
      <c r="F17" s="26"/>
      <c r="G17" s="26"/>
    </row>
    <row r="18" spans="2:9" x14ac:dyDescent="0.25">
      <c r="B18" s="9" t="s">
        <v>380</v>
      </c>
      <c r="C18" s="159">
        <f ca="1">OFFSET(C18,MATCH(SelectedScenario,Scenarios,0),)</f>
        <v>1.02</v>
      </c>
      <c r="D18" s="159">
        <f ca="1">OFFSET(D18,MATCH(SelectedScenario,Scenarios,0),)</f>
        <v>1.0249999999999999</v>
      </c>
      <c r="E18" s="159">
        <f ca="1">OFFSET(E18,MATCH(SelectedScenario,Scenarios,0),)</f>
        <v>1.0299999999999998</v>
      </c>
      <c r="F18" s="159">
        <f ca="1">OFFSET(F18,MATCH(SelectedScenario,Scenarios,0),)</f>
        <v>1.0349999999999997</v>
      </c>
      <c r="G18" s="159">
        <f ca="1">OFFSET(G18,MATCH(SelectedScenario,Scenarios,0),)</f>
        <v>1.0399999999999996</v>
      </c>
    </row>
    <row r="19" spans="2:9" x14ac:dyDescent="0.25">
      <c r="B19" s="15" t="s">
        <v>365</v>
      </c>
      <c r="C19" s="160">
        <v>1</v>
      </c>
      <c r="D19" s="160">
        <v>1</v>
      </c>
      <c r="E19" s="160">
        <v>1</v>
      </c>
      <c r="F19" s="160">
        <v>1</v>
      </c>
      <c r="G19" s="160">
        <v>1</v>
      </c>
    </row>
    <row r="20" spans="2:9" x14ac:dyDescent="0.25">
      <c r="B20" s="15" t="s">
        <v>369</v>
      </c>
      <c r="C20" s="162">
        <v>1</v>
      </c>
      <c r="D20" s="162">
        <v>1</v>
      </c>
      <c r="E20" s="162">
        <v>1</v>
      </c>
      <c r="F20" s="162">
        <v>1</v>
      </c>
      <c r="G20" s="162">
        <v>1</v>
      </c>
    </row>
    <row r="21" spans="2:9" x14ac:dyDescent="0.25">
      <c r="B21" s="15" t="s">
        <v>370</v>
      </c>
      <c r="C21" s="162">
        <v>1.02</v>
      </c>
      <c r="D21" s="162">
        <f>C21+0.005</f>
        <v>1.0249999999999999</v>
      </c>
      <c r="E21" s="162">
        <f t="shared" ref="E21:G21" si="0">D21+0.005</f>
        <v>1.0299999999999998</v>
      </c>
      <c r="F21" s="162">
        <f t="shared" si="0"/>
        <v>1.0349999999999997</v>
      </c>
      <c r="G21" s="162">
        <f t="shared" si="0"/>
        <v>1.0399999999999996</v>
      </c>
    </row>
    <row r="22" spans="2:9" x14ac:dyDescent="0.25">
      <c r="B22" s="3"/>
    </row>
    <row r="23" spans="2:9" x14ac:dyDescent="0.25">
      <c r="B23" s="9" t="s">
        <v>381</v>
      </c>
      <c r="C23" s="158">
        <f ca="1">OFFSET(C23,MATCH(SelectedScenario,Scenarios,0),)</f>
        <v>0.01</v>
      </c>
      <c r="D23" s="158">
        <f ca="1">OFFSET(D23,MATCH(SelectedScenario,Scenarios,0),)</f>
        <v>9.0000000000000011E-3</v>
      </c>
      <c r="E23" s="158">
        <f ca="1">OFFSET(E23,MATCH(SelectedScenario,Scenarios,0),)</f>
        <v>8.0000000000000002E-3</v>
      </c>
      <c r="F23" s="158">
        <f ca="1">OFFSET(F23,MATCH(SelectedScenario,Scenarios,0),)</f>
        <v>7.0000000000000001E-3</v>
      </c>
      <c r="G23" s="158">
        <f ca="1">OFFSET(G23,MATCH(SelectedScenario,Scenarios,0),)</f>
        <v>6.0000000000000001E-3</v>
      </c>
    </row>
    <row r="24" spans="2:9" x14ac:dyDescent="0.25">
      <c r="B24" s="15" t="s">
        <v>365</v>
      </c>
      <c r="C24" s="23">
        <v>0.01</v>
      </c>
      <c r="D24" s="23">
        <v>0.01</v>
      </c>
      <c r="E24" s="23">
        <v>0.01</v>
      </c>
      <c r="F24" s="23">
        <v>0.01</v>
      </c>
      <c r="G24" s="23">
        <v>0.01</v>
      </c>
      <c r="I24" t="s">
        <v>367</v>
      </c>
    </row>
    <row r="25" spans="2:9" x14ac:dyDescent="0.25">
      <c r="B25" s="15" t="s">
        <v>369</v>
      </c>
      <c r="C25" s="23">
        <v>0.02</v>
      </c>
      <c r="D25" s="23">
        <v>0.02</v>
      </c>
      <c r="E25" s="23">
        <v>0.02</v>
      </c>
      <c r="F25" s="23">
        <v>0.02</v>
      </c>
      <c r="G25" s="23">
        <v>0.02</v>
      </c>
    </row>
    <row r="26" spans="2:9" x14ac:dyDescent="0.25">
      <c r="B26" s="15" t="s">
        <v>370</v>
      </c>
      <c r="C26" s="23">
        <v>0.01</v>
      </c>
      <c r="D26" s="23">
        <f>C26-0.001</f>
        <v>9.0000000000000011E-3</v>
      </c>
      <c r="E26" s="23">
        <f t="shared" ref="E26:G26" si="1">D26-0.001</f>
        <v>8.0000000000000002E-3</v>
      </c>
      <c r="F26" s="23">
        <f t="shared" si="1"/>
        <v>7.0000000000000001E-3</v>
      </c>
      <c r="G26" s="23">
        <f t="shared" si="1"/>
        <v>6.0000000000000001E-3</v>
      </c>
    </row>
    <row r="28" spans="2:9" x14ac:dyDescent="0.25">
      <c r="B28" s="8" t="s">
        <v>65</v>
      </c>
    </row>
    <row r="29" spans="2:9" x14ac:dyDescent="0.25">
      <c r="B29" s="9" t="s">
        <v>383</v>
      </c>
    </row>
    <row r="30" spans="2:9" x14ac:dyDescent="0.25">
      <c r="B30" s="161" t="s">
        <v>384</v>
      </c>
      <c r="C30" s="159">
        <f ca="1">OFFSET(C30,MATCH(SelectedScenario,Scenarios,0),)</f>
        <v>1</v>
      </c>
      <c r="D30" s="159">
        <f ca="1">OFFSET(D30,MATCH(SelectedScenario,Scenarios,0),)</f>
        <v>1</v>
      </c>
      <c r="E30" s="159">
        <f ca="1">OFFSET(E30,MATCH(SelectedScenario,Scenarios,0),)</f>
        <v>1</v>
      </c>
      <c r="F30" s="159">
        <f ca="1">OFFSET(F30,MATCH(SelectedScenario,Scenarios,0),)</f>
        <v>1</v>
      </c>
      <c r="G30" s="159">
        <f ca="1">OFFSET(G30,MATCH(SelectedScenario,Scenarios,0),)</f>
        <v>1</v>
      </c>
    </row>
    <row r="31" spans="2:9" x14ac:dyDescent="0.25">
      <c r="B31" s="15" t="s">
        <v>365</v>
      </c>
      <c r="C31" s="162">
        <v>1</v>
      </c>
      <c r="D31" s="162">
        <v>1</v>
      </c>
      <c r="E31" s="162">
        <v>1</v>
      </c>
      <c r="F31" s="162">
        <v>1</v>
      </c>
      <c r="G31" s="162">
        <v>1</v>
      </c>
    </row>
    <row r="32" spans="2:9" x14ac:dyDescent="0.25">
      <c r="B32" s="15" t="s">
        <v>369</v>
      </c>
      <c r="C32" s="162">
        <v>1</v>
      </c>
      <c r="D32" s="162">
        <v>1</v>
      </c>
      <c r="E32" s="162">
        <v>1</v>
      </c>
      <c r="F32" s="162">
        <v>1</v>
      </c>
      <c r="G32" s="162">
        <v>1</v>
      </c>
    </row>
    <row r="33" spans="2:7" x14ac:dyDescent="0.25">
      <c r="B33" s="15" t="s">
        <v>370</v>
      </c>
      <c r="C33" s="162">
        <v>1</v>
      </c>
      <c r="D33" s="162">
        <v>1</v>
      </c>
      <c r="E33" s="162">
        <v>1</v>
      </c>
      <c r="F33" s="162">
        <v>1</v>
      </c>
      <c r="G33" s="162">
        <v>1</v>
      </c>
    </row>
    <row r="34" spans="2:7" x14ac:dyDescent="0.25">
      <c r="B34" s="3"/>
    </row>
    <row r="35" spans="2:7" x14ac:dyDescent="0.25">
      <c r="B35" s="9" t="s">
        <v>66</v>
      </c>
    </row>
    <row r="36" spans="2:7" x14ac:dyDescent="0.25">
      <c r="B36" s="161" t="s">
        <v>382</v>
      </c>
      <c r="C36" s="159">
        <f ca="1">OFFSET(C36,MATCH(SelectedScenario,Scenarios,0),)</f>
        <v>1</v>
      </c>
      <c r="D36" s="159">
        <f ca="1">OFFSET(D36,MATCH(SelectedScenario,Scenarios,0),)</f>
        <v>1</v>
      </c>
      <c r="E36" s="159">
        <f ca="1">OFFSET(E36,MATCH(SelectedScenario,Scenarios,0),)</f>
        <v>1</v>
      </c>
      <c r="F36" s="159">
        <f ca="1">OFFSET(F36,MATCH(SelectedScenario,Scenarios,0),)</f>
        <v>1</v>
      </c>
      <c r="G36" s="159">
        <f ca="1">OFFSET(G36,MATCH(SelectedScenario,Scenarios,0),)</f>
        <v>1</v>
      </c>
    </row>
    <row r="37" spans="2:7" x14ac:dyDescent="0.25">
      <c r="B37" s="15" t="s">
        <v>365</v>
      </c>
      <c r="C37" s="162">
        <v>1</v>
      </c>
      <c r="D37" s="162">
        <v>1</v>
      </c>
      <c r="E37" s="162">
        <v>1</v>
      </c>
      <c r="F37" s="162">
        <v>1</v>
      </c>
      <c r="G37" s="162">
        <v>1</v>
      </c>
    </row>
    <row r="38" spans="2:7" x14ac:dyDescent="0.25">
      <c r="B38" s="15" t="s">
        <v>369</v>
      </c>
      <c r="C38" s="162">
        <v>1</v>
      </c>
      <c r="D38" s="162">
        <v>1</v>
      </c>
      <c r="E38" s="162">
        <v>1</v>
      </c>
      <c r="F38" s="162">
        <v>1</v>
      </c>
      <c r="G38" s="162">
        <v>1</v>
      </c>
    </row>
    <row r="39" spans="2:7" x14ac:dyDescent="0.25">
      <c r="B39" s="15" t="s">
        <v>370</v>
      </c>
      <c r="C39" s="162">
        <v>1</v>
      </c>
      <c r="D39" s="162">
        <v>1</v>
      </c>
      <c r="E39" s="162">
        <v>1</v>
      </c>
      <c r="F39" s="162">
        <v>1</v>
      </c>
      <c r="G39" s="162">
        <v>1</v>
      </c>
    </row>
    <row r="42" spans="2:7" x14ac:dyDescent="0.25">
      <c r="B42" s="17" t="s">
        <v>70</v>
      </c>
      <c r="C42" s="34">
        <f>C$10</f>
        <v>46418</v>
      </c>
      <c r="D42" s="34">
        <f>D$10</f>
        <v>46783</v>
      </c>
      <c r="E42" s="34">
        <f>E$10</f>
        <v>47149</v>
      </c>
      <c r="F42" s="34">
        <f>F$10</f>
        <v>47514</v>
      </c>
      <c r="G42" s="34">
        <f>G$10</f>
        <v>47879</v>
      </c>
    </row>
    <row r="44" spans="2:7" x14ac:dyDescent="0.25">
      <c r="B44" s="2" t="s">
        <v>45</v>
      </c>
    </row>
    <row r="45" spans="2:7" x14ac:dyDescent="0.25">
      <c r="B45" s="9" t="s">
        <v>385</v>
      </c>
      <c r="C45" s="159">
        <f ca="1">OFFSET(C45,MATCH(SelectedScenario,Scenarios,0),)</f>
        <v>1</v>
      </c>
      <c r="D45" s="159">
        <f ca="1">OFFSET(D45,MATCH(SelectedScenario,Scenarios,0),)</f>
        <v>1</v>
      </c>
      <c r="E45" s="159">
        <f ca="1">OFFSET(E45,MATCH(SelectedScenario,Scenarios,0),)</f>
        <v>1</v>
      </c>
      <c r="F45" s="159">
        <f ca="1">OFFSET(F45,MATCH(SelectedScenario,Scenarios,0),)</f>
        <v>1</v>
      </c>
      <c r="G45" s="159">
        <f ca="1">OFFSET(G45,MATCH(SelectedScenario,Scenarios,0),)</f>
        <v>1</v>
      </c>
    </row>
    <row r="46" spans="2:7" x14ac:dyDescent="0.25">
      <c r="B46" s="15" t="s">
        <v>365</v>
      </c>
      <c r="C46" s="162">
        <v>1</v>
      </c>
      <c r="D46" s="162">
        <v>1</v>
      </c>
      <c r="E46" s="162">
        <v>1</v>
      </c>
      <c r="F46" s="162">
        <v>1</v>
      </c>
      <c r="G46" s="162">
        <v>1</v>
      </c>
    </row>
    <row r="47" spans="2:7" x14ac:dyDescent="0.25">
      <c r="B47" s="15" t="s">
        <v>369</v>
      </c>
      <c r="C47" s="162">
        <v>0.5</v>
      </c>
      <c r="D47" s="162">
        <v>0.5</v>
      </c>
      <c r="E47" s="162">
        <v>0.5</v>
      </c>
      <c r="F47" s="162">
        <v>0.5</v>
      </c>
      <c r="G47" s="162">
        <v>0.5</v>
      </c>
    </row>
    <row r="48" spans="2:7" x14ac:dyDescent="0.25">
      <c r="B48" s="15" t="s">
        <v>370</v>
      </c>
      <c r="C48" s="162">
        <v>1</v>
      </c>
      <c r="D48" s="162">
        <v>1</v>
      </c>
      <c r="E48" s="162">
        <v>1</v>
      </c>
      <c r="F48" s="162">
        <v>1</v>
      </c>
      <c r="G48" s="162">
        <v>1</v>
      </c>
    </row>
    <row r="50" spans="2:7" x14ac:dyDescent="0.25">
      <c r="B50" s="9" t="s">
        <v>386</v>
      </c>
      <c r="C50" s="159">
        <f ca="1">OFFSET(C50,MATCH(SelectedScenario,Scenarios,0),)</f>
        <v>1</v>
      </c>
      <c r="D50" s="159">
        <f ca="1">OFFSET(D50,MATCH(SelectedScenario,Scenarios,0),)</f>
        <v>1</v>
      </c>
      <c r="E50" s="159">
        <f ca="1">OFFSET(E50,MATCH(SelectedScenario,Scenarios,0),)</f>
        <v>1</v>
      </c>
      <c r="F50" s="159">
        <f ca="1">OFFSET(F50,MATCH(SelectedScenario,Scenarios,0),)</f>
        <v>1</v>
      </c>
      <c r="G50" s="159">
        <f ca="1">OFFSET(G50,MATCH(SelectedScenario,Scenarios,0),)</f>
        <v>1</v>
      </c>
    </row>
    <row r="51" spans="2:7" x14ac:dyDescent="0.25">
      <c r="B51" s="15" t="s">
        <v>365</v>
      </c>
      <c r="C51" s="162">
        <v>1</v>
      </c>
      <c r="D51" s="162">
        <v>1</v>
      </c>
      <c r="E51" s="162">
        <v>1</v>
      </c>
      <c r="F51" s="162">
        <v>1</v>
      </c>
      <c r="G51" s="162">
        <v>1</v>
      </c>
    </row>
    <row r="52" spans="2:7" x14ac:dyDescent="0.25">
      <c r="B52" s="15" t="s">
        <v>369</v>
      </c>
      <c r="C52" s="162">
        <v>0.5</v>
      </c>
      <c r="D52" s="162">
        <v>0.5</v>
      </c>
      <c r="E52" s="162">
        <v>0.5</v>
      </c>
      <c r="F52" s="162">
        <v>0.5</v>
      </c>
      <c r="G52" s="162">
        <v>0.5</v>
      </c>
    </row>
    <row r="53" spans="2:7" x14ac:dyDescent="0.25">
      <c r="B53" s="15" t="s">
        <v>370</v>
      </c>
      <c r="C53" s="162">
        <v>1</v>
      </c>
      <c r="D53" s="162">
        <v>1</v>
      </c>
      <c r="E53" s="162">
        <v>1</v>
      </c>
      <c r="F53" s="162">
        <v>1</v>
      </c>
      <c r="G53" s="162">
        <v>1</v>
      </c>
    </row>
    <row r="55" spans="2:7" x14ac:dyDescent="0.25">
      <c r="B55" s="9" t="s">
        <v>387</v>
      </c>
      <c r="C55" s="159">
        <f ca="1">OFFSET(C55,MATCH(SelectedScenario,Scenarios,0),)</f>
        <v>1</v>
      </c>
      <c r="D55" s="159">
        <f ca="1">OFFSET(D55,MATCH(SelectedScenario,Scenarios,0),)</f>
        <v>1</v>
      </c>
      <c r="E55" s="159">
        <f ca="1">OFFSET(E55,MATCH(SelectedScenario,Scenarios,0),)</f>
        <v>1</v>
      </c>
      <c r="F55" s="159">
        <f ca="1">OFFSET(F55,MATCH(SelectedScenario,Scenarios,0),)</f>
        <v>1</v>
      </c>
      <c r="G55" s="159">
        <f ca="1">OFFSET(G55,MATCH(SelectedScenario,Scenarios,0),)</f>
        <v>1</v>
      </c>
    </row>
    <row r="56" spans="2:7" x14ac:dyDescent="0.25">
      <c r="B56" s="15" t="s">
        <v>365</v>
      </c>
      <c r="C56" s="162">
        <v>1</v>
      </c>
      <c r="D56" s="162">
        <v>1</v>
      </c>
      <c r="E56" s="162">
        <v>1</v>
      </c>
      <c r="F56" s="162">
        <v>1</v>
      </c>
      <c r="G56" s="162">
        <v>1</v>
      </c>
    </row>
    <row r="57" spans="2:7" x14ac:dyDescent="0.25">
      <c r="B57" s="15" t="s">
        <v>369</v>
      </c>
      <c r="C57" s="162">
        <v>0.5</v>
      </c>
      <c r="D57" s="162">
        <v>0.5</v>
      </c>
      <c r="E57" s="162">
        <v>0.5</v>
      </c>
      <c r="F57" s="162">
        <v>0.5</v>
      </c>
      <c r="G57" s="162">
        <v>0.5</v>
      </c>
    </row>
    <row r="58" spans="2:7" x14ac:dyDescent="0.25">
      <c r="B58" s="15" t="s">
        <v>370</v>
      </c>
      <c r="C58" s="162">
        <v>1</v>
      </c>
      <c r="D58" s="162">
        <v>1</v>
      </c>
      <c r="E58" s="162">
        <v>1</v>
      </c>
      <c r="F58" s="162">
        <v>1</v>
      </c>
      <c r="G58" s="162">
        <v>1</v>
      </c>
    </row>
    <row r="61" spans="2:7" x14ac:dyDescent="0.25">
      <c r="B61" s="17" t="s">
        <v>98</v>
      </c>
      <c r="C61" s="34">
        <f>C$10</f>
        <v>46418</v>
      </c>
      <c r="D61" s="34">
        <f>D$10</f>
        <v>46783</v>
      </c>
      <c r="E61" s="34">
        <f>E$10</f>
        <v>47149</v>
      </c>
      <c r="F61" s="34">
        <f>F$10</f>
        <v>47514</v>
      </c>
      <c r="G61" s="34">
        <f>G$10</f>
        <v>47879</v>
      </c>
    </row>
    <row r="63" spans="2:7" x14ac:dyDescent="0.25">
      <c r="B63" s="2" t="s">
        <v>388</v>
      </c>
      <c r="C63" s="158">
        <f ca="1">OFFSET(C63,MATCH(SelectedScenario,Scenarios,0),)</f>
        <v>4.2000000000000003E-2</v>
      </c>
      <c r="D63" s="158">
        <f ca="1">OFFSET(D63,MATCH(SelectedScenario,Scenarios,0),)</f>
        <v>4.2000000000000003E-2</v>
      </c>
      <c r="E63" s="158">
        <f ca="1">OFFSET(E63,MATCH(SelectedScenario,Scenarios,0),)</f>
        <v>4.2000000000000003E-2</v>
      </c>
      <c r="F63" s="158">
        <f ca="1">OFFSET(F63,MATCH(SelectedScenario,Scenarios,0),)</f>
        <v>4.2000000000000003E-2</v>
      </c>
      <c r="G63" s="158">
        <f ca="1">OFFSET(G63,MATCH(SelectedScenario,Scenarios,0),)</f>
        <v>4.2000000000000003E-2</v>
      </c>
    </row>
    <row r="64" spans="2:7" x14ac:dyDescent="0.25">
      <c r="B64" s="15" t="s">
        <v>365</v>
      </c>
      <c r="C64" s="23">
        <v>0.04</v>
      </c>
      <c r="D64" s="23">
        <v>0.04</v>
      </c>
      <c r="E64" s="23">
        <v>0.04</v>
      </c>
      <c r="F64" s="23">
        <v>0.04</v>
      </c>
      <c r="G64" s="23">
        <v>0.04</v>
      </c>
    </row>
    <row r="65" spans="2:7" x14ac:dyDescent="0.25">
      <c r="B65" s="15" t="s">
        <v>369</v>
      </c>
      <c r="C65" s="23">
        <v>0.04</v>
      </c>
      <c r="D65" s="23">
        <v>0.04</v>
      </c>
      <c r="E65" s="23">
        <v>0.04</v>
      </c>
      <c r="F65" s="23">
        <v>0.04</v>
      </c>
      <c r="G65" s="23">
        <v>0.04</v>
      </c>
    </row>
    <row r="66" spans="2:7" x14ac:dyDescent="0.25">
      <c r="B66" s="15" t="s">
        <v>370</v>
      </c>
      <c r="C66" s="23">
        <v>4.2000000000000003E-2</v>
      </c>
      <c r="D66" s="23">
        <v>4.2000000000000003E-2</v>
      </c>
      <c r="E66" s="23">
        <v>4.2000000000000003E-2</v>
      </c>
      <c r="F66" s="23">
        <v>4.2000000000000003E-2</v>
      </c>
      <c r="G66" s="23">
        <v>4.2000000000000003E-2</v>
      </c>
    </row>
    <row r="67" spans="2:7" ht="15.75" thickBot="1" x14ac:dyDescent="0.3">
      <c r="B67" s="163"/>
      <c r="C67" s="163"/>
      <c r="D67" s="163"/>
      <c r="E67" s="163"/>
      <c r="F67" s="163"/>
      <c r="G67" s="163"/>
    </row>
    <row r="69" spans="2:7" x14ac:dyDescent="0.25">
      <c r="B69" s="8" t="s">
        <v>1</v>
      </c>
    </row>
    <row r="72" spans="2:7" ht="15.75" thickBot="1" x14ac:dyDescent="0.3">
      <c r="B72" s="163"/>
      <c r="C72" s="163"/>
      <c r="D72" s="163"/>
      <c r="E72" s="163"/>
      <c r="F72" s="163"/>
      <c r="G72" s="163"/>
    </row>
    <row r="74" spans="2:7" x14ac:dyDescent="0.25">
      <c r="B74" s="8" t="s">
        <v>26</v>
      </c>
    </row>
    <row r="75" spans="2:7" x14ac:dyDescent="0.25">
      <c r="B75" s="17" t="s">
        <v>125</v>
      </c>
      <c r="C75" s="34">
        <f>C$10</f>
        <v>46418</v>
      </c>
      <c r="D75" s="34">
        <f>D$10</f>
        <v>46783</v>
      </c>
      <c r="E75" s="34">
        <f>E$10</f>
        <v>47149</v>
      </c>
      <c r="F75" s="34">
        <f>F$10</f>
        <v>47514</v>
      </c>
      <c r="G75" s="34">
        <f>G$10</f>
        <v>47879</v>
      </c>
    </row>
    <row r="77" spans="2:7" x14ac:dyDescent="0.25">
      <c r="B77" s="2" t="s">
        <v>390</v>
      </c>
      <c r="C77" s="159">
        <f ca="1">OFFSET(C77,MATCH(SelectedScenario,Scenarios,0),)</f>
        <v>1</v>
      </c>
      <c r="D77" s="159">
        <f ca="1">OFFSET(D77,MATCH(SelectedScenario,Scenarios,0),)</f>
        <v>1</v>
      </c>
      <c r="E77" s="159">
        <f ca="1">OFFSET(E77,MATCH(SelectedScenario,Scenarios,0),)</f>
        <v>1</v>
      </c>
      <c r="F77" s="159">
        <f ca="1">OFFSET(F77,MATCH(SelectedScenario,Scenarios,0),)</f>
        <v>1</v>
      </c>
      <c r="G77" s="159">
        <f ca="1">OFFSET(G77,MATCH(SelectedScenario,Scenarios,0),)</f>
        <v>1</v>
      </c>
    </row>
    <row r="78" spans="2:7" x14ac:dyDescent="0.25">
      <c r="B78" s="15" t="s">
        <v>365</v>
      </c>
      <c r="C78" s="162">
        <v>1</v>
      </c>
      <c r="D78" s="162">
        <v>1</v>
      </c>
      <c r="E78" s="162">
        <v>1</v>
      </c>
      <c r="F78" s="162">
        <v>1</v>
      </c>
      <c r="G78" s="162">
        <v>1</v>
      </c>
    </row>
    <row r="79" spans="2:7" x14ac:dyDescent="0.25">
      <c r="B79" s="15" t="s">
        <v>369</v>
      </c>
      <c r="C79" s="162">
        <v>1</v>
      </c>
      <c r="D79" s="162">
        <v>1</v>
      </c>
      <c r="E79" s="162">
        <v>1</v>
      </c>
      <c r="F79" s="162">
        <v>1</v>
      </c>
      <c r="G79" s="162">
        <v>1</v>
      </c>
    </row>
    <row r="80" spans="2:7" x14ac:dyDescent="0.25">
      <c r="B80" s="15" t="s">
        <v>370</v>
      </c>
      <c r="C80" s="162">
        <v>1</v>
      </c>
      <c r="D80" s="162">
        <v>1</v>
      </c>
      <c r="E80" s="162">
        <v>1</v>
      </c>
      <c r="F80" s="162">
        <v>1</v>
      </c>
      <c r="G80" s="162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CBAE8-7D1E-495F-936A-43C6FC0A1E07}">
  <sheetPr codeName="Sheet5">
    <tabColor theme="8" tint="0.79998168889431442"/>
  </sheetPr>
  <dimension ref="A4:M80"/>
  <sheetViews>
    <sheetView showGridLines="0" topLeftCell="A45" zoomScale="80" zoomScaleNormal="80" workbookViewId="0">
      <selection activeCell="H66" sqref="H66"/>
    </sheetView>
  </sheetViews>
  <sheetFormatPr defaultRowHeight="15" x14ac:dyDescent="0.25"/>
  <cols>
    <col min="1" max="1" width="2.7109375" customWidth="1"/>
    <col min="2" max="2" width="35.140625" bestFit="1" customWidth="1"/>
    <col min="3" max="7" width="9.140625" customWidth="1"/>
    <col min="13" max="13" width="9.140625" customWidth="1"/>
  </cols>
  <sheetData>
    <row r="4" spans="1:11" x14ac:dyDescent="0.25">
      <c r="B4" s="17" t="s">
        <v>69</v>
      </c>
      <c r="C4" s="33">
        <v>44957</v>
      </c>
      <c r="D4" s="33">
        <v>45322</v>
      </c>
      <c r="E4" s="33">
        <v>45688</v>
      </c>
      <c r="F4" s="33">
        <v>46053</v>
      </c>
      <c r="G4" s="34">
        <f>EOMONTH(F4,12)</f>
        <v>46418</v>
      </c>
      <c r="H4" s="34">
        <f>EOMONTH(G4,12)</f>
        <v>46783</v>
      </c>
      <c r="I4" s="34">
        <f>EOMONTH(H4,12)</f>
        <v>47149</v>
      </c>
      <c r="J4" s="34">
        <f>EOMONTH(I4,12)</f>
        <v>47514</v>
      </c>
      <c r="K4" s="34">
        <f>EOMONTH(J4,12)</f>
        <v>47879</v>
      </c>
    </row>
    <row r="5" spans="1:11" x14ac:dyDescent="0.2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x14ac:dyDescent="0.25">
      <c r="B6" s="2" t="s">
        <v>0</v>
      </c>
      <c r="G6" s="23"/>
    </row>
    <row r="7" spans="1:11" x14ac:dyDescent="0.25">
      <c r="A7" s="21" t="s">
        <v>56</v>
      </c>
      <c r="B7" s="3" t="s">
        <v>61</v>
      </c>
      <c r="C7" s="30"/>
      <c r="D7" s="30">
        <f>(D10/C10)-1</f>
        <v>0.12570668440305943</v>
      </c>
      <c r="E7" s="30">
        <f>(E10/D10)-1</f>
        <v>0.24519940915805027</v>
      </c>
      <c r="F7" s="30">
        <f>(F10/E10)-1</f>
        <v>0.14519572953736648</v>
      </c>
      <c r="G7" s="23">
        <v>0.1</v>
      </c>
      <c r="H7" s="23">
        <v>0.1</v>
      </c>
      <c r="I7" s="23">
        <v>0.1</v>
      </c>
      <c r="J7" s="23">
        <v>0.1</v>
      </c>
      <c r="K7" s="23">
        <v>0.1</v>
      </c>
    </row>
    <row r="8" spans="1:11" x14ac:dyDescent="0.25">
      <c r="A8" s="21"/>
      <c r="B8" s="3" t="s">
        <v>377</v>
      </c>
      <c r="C8" s="30"/>
      <c r="D8" s="30"/>
      <c r="E8" s="30"/>
      <c r="F8" s="30"/>
      <c r="G8" s="160">
        <f ca="1">'Scenario Drivers'!C13</f>
        <v>1.2</v>
      </c>
      <c r="H8" s="160">
        <f ca="1">IF('EBITDA Sensitivity'!$D$7=1,'EBITDA Sensitivity'!$D$8+1,'Scenario Drivers'!D13)</f>
        <v>1.2</v>
      </c>
      <c r="I8" s="160">
        <f ca="1">IF('EBITDA Sensitivity'!$D$7=1,'EBITDA Sensitivity'!$D$8+1,'Scenario Drivers'!E13)</f>
        <v>1.2</v>
      </c>
      <c r="J8" s="160">
        <f ca="1">IF('EBITDA Sensitivity'!$D$7=1,'EBITDA Sensitivity'!$D$8+1,'Scenario Drivers'!F13)</f>
        <v>1.2</v>
      </c>
      <c r="K8" s="160">
        <f ca="1">IF('EBITDA Sensitivity'!$D$7=1,'EBITDA Sensitivity'!$D$8+1,'Scenario Drivers'!G13)</f>
        <v>1.2</v>
      </c>
    </row>
    <row r="9" spans="1:11" x14ac:dyDescent="0.25">
      <c r="A9" s="21"/>
      <c r="B9" s="3" t="s">
        <v>378</v>
      </c>
      <c r="C9" s="30"/>
      <c r="D9" s="30"/>
      <c r="E9" s="30"/>
      <c r="F9" s="30"/>
      <c r="G9" s="30">
        <f ca="1">IF('EBITDA Sensitivity'!$D$7=1,'EBITDA Sensitivity'!$D$8,G7*G8)</f>
        <v>0.12</v>
      </c>
      <c r="H9" s="30">
        <f ca="1">IF('EBITDA Sensitivity'!$D$7=1,'EBITDA Sensitivity'!$D$8,H7*H8)</f>
        <v>0.12</v>
      </c>
      <c r="I9" s="30">
        <f ca="1">IF('EBITDA Sensitivity'!$D$7=1,'EBITDA Sensitivity'!$D$8,I7*I8)</f>
        <v>0.12</v>
      </c>
      <c r="J9" s="30">
        <f ca="1">IF('EBITDA Sensitivity'!$D$7=1,'EBITDA Sensitivity'!$D$8,J7*J8)</f>
        <v>0.12</v>
      </c>
      <c r="K9" s="30">
        <f ca="1">IF('EBITDA Sensitivity'!$D$7=1,'EBITDA Sensitivity'!$D$8,K7*K8)</f>
        <v>0.12</v>
      </c>
    </row>
    <row r="10" spans="1:11" x14ac:dyDescent="0.25">
      <c r="A10" s="21" t="s">
        <v>59</v>
      </c>
      <c r="B10" s="3" t="s">
        <v>62</v>
      </c>
      <c r="C10" s="24">
        <v>3007</v>
      </c>
      <c r="D10" s="24">
        <v>3385</v>
      </c>
      <c r="E10" s="24">
        <v>4215</v>
      </c>
      <c r="F10" s="24">
        <v>4827</v>
      </c>
      <c r="G10" s="28">
        <f ca="1">F10*(1+G9)</f>
        <v>5406.2400000000007</v>
      </c>
      <c r="H10" s="28">
        <f t="shared" ref="H10:K10" ca="1" si="0">G10*(1+H9)</f>
        <v>6054.988800000001</v>
      </c>
      <c r="I10" s="28">
        <f t="shared" ca="1" si="0"/>
        <v>6781.587456000002</v>
      </c>
      <c r="J10" s="28">
        <f t="shared" ca="1" si="0"/>
        <v>7595.3779507200034</v>
      </c>
      <c r="K10" s="28">
        <f t="shared" ca="1" si="0"/>
        <v>8506.8233048064048</v>
      </c>
    </row>
    <row r="11" spans="1:11" x14ac:dyDescent="0.25">
      <c r="A11" s="21"/>
      <c r="B11" s="3"/>
      <c r="G11" s="20"/>
    </row>
    <row r="12" spans="1:11" x14ac:dyDescent="0.25">
      <c r="A12" s="21"/>
      <c r="B12" s="3" t="s">
        <v>77</v>
      </c>
      <c r="D12" s="20">
        <f>(D13/C13)-1</f>
        <v>2.9704193083219588E-2</v>
      </c>
      <c r="E12" s="20">
        <f>(E13/D13)-1</f>
        <v>-7.5136612021857951E-2</v>
      </c>
      <c r="F12" s="20">
        <f>(F13/E13)-1</f>
        <v>-2.3850217526413919E-2</v>
      </c>
      <c r="G12" s="29"/>
      <c r="H12" s="29"/>
      <c r="I12" s="29"/>
      <c r="J12" s="29"/>
      <c r="K12" s="29"/>
    </row>
    <row r="13" spans="1:11" x14ac:dyDescent="0.25">
      <c r="B13" s="3" t="s">
        <v>60</v>
      </c>
      <c r="C13" s="30">
        <f>C14/C10</f>
        <v>0.56002660458929165</v>
      </c>
      <c r="D13" s="30">
        <f>D14/D10</f>
        <v>0.57666174298375183</v>
      </c>
      <c r="E13" s="30">
        <f>E14/E10</f>
        <v>0.53333333333333333</v>
      </c>
      <c r="F13" s="30">
        <f>F14/F10</f>
        <v>0.52061321731924592</v>
      </c>
      <c r="G13" s="23">
        <v>0.51</v>
      </c>
      <c r="H13" s="23">
        <v>0.5</v>
      </c>
      <c r="I13" s="23">
        <v>0.5</v>
      </c>
      <c r="J13" s="23">
        <v>0.5</v>
      </c>
      <c r="K13" s="23">
        <v>0.5</v>
      </c>
    </row>
    <row r="14" spans="1:11" x14ac:dyDescent="0.25">
      <c r="B14" s="6" t="s">
        <v>64</v>
      </c>
      <c r="C14" s="31">
        <v>1684</v>
      </c>
      <c r="D14" s="31">
        <v>1952</v>
      </c>
      <c r="E14" s="31">
        <v>2248</v>
      </c>
      <c r="F14" s="31">
        <v>2513</v>
      </c>
      <c r="G14" s="32">
        <f ca="1">G10*G13</f>
        <v>2757.1824000000006</v>
      </c>
      <c r="H14" s="32">
        <f t="shared" ref="H14:J14" ca="1" si="1">H10*H13</f>
        <v>3027.4944000000005</v>
      </c>
      <c r="I14" s="32">
        <f t="shared" ca="1" si="1"/>
        <v>3390.793728000001</v>
      </c>
      <c r="J14" s="32">
        <f t="shared" ca="1" si="1"/>
        <v>3797.6889753600017</v>
      </c>
      <c r="K14" s="32">
        <f t="shared" ref="K14" ca="1" si="2">K10*K13</f>
        <v>4253.4116524032024</v>
      </c>
    </row>
    <row r="15" spans="1:11" x14ac:dyDescent="0.25">
      <c r="B15" s="3"/>
      <c r="C15" s="24"/>
      <c r="D15" s="24"/>
      <c r="E15" s="24"/>
      <c r="F15" s="24"/>
      <c r="G15" s="24"/>
      <c r="H15" s="24"/>
      <c r="I15" s="24"/>
      <c r="J15" s="24"/>
      <c r="K15" s="24"/>
    </row>
    <row r="16" spans="1:11" x14ac:dyDescent="0.25">
      <c r="B16" s="3" t="s">
        <v>74</v>
      </c>
      <c r="C16" s="24"/>
      <c r="D16" s="24">
        <f>C14</f>
        <v>1684</v>
      </c>
      <c r="E16" s="24">
        <f t="shared" ref="E16:K16" si="3">D14</f>
        <v>1952</v>
      </c>
      <c r="F16" s="24">
        <f t="shared" si="3"/>
        <v>2248</v>
      </c>
      <c r="G16" s="24">
        <f t="shared" si="3"/>
        <v>2513</v>
      </c>
      <c r="H16" s="28">
        <f t="shared" ca="1" si="3"/>
        <v>2757.1824000000006</v>
      </c>
      <c r="I16" s="28">
        <f t="shared" ca="1" si="3"/>
        <v>3027.4944000000005</v>
      </c>
      <c r="J16" s="28">
        <f t="shared" ca="1" si="3"/>
        <v>3390.793728000001</v>
      </c>
      <c r="K16" s="28">
        <f t="shared" ca="1" si="3"/>
        <v>3797.6889753600017</v>
      </c>
    </row>
    <row r="18" spans="1:13" x14ac:dyDescent="0.25">
      <c r="B18" s="3" t="s">
        <v>75</v>
      </c>
      <c r="C18" s="23"/>
      <c r="D18" s="30">
        <f>D21/D16</f>
        <v>1.3093824228028503</v>
      </c>
      <c r="E18" s="30">
        <f>E21/E16</f>
        <v>1.3094262295081966</v>
      </c>
      <c r="F18" s="30">
        <f>F21/F16</f>
        <v>1.270017793594306</v>
      </c>
      <c r="G18" s="23">
        <v>1.25</v>
      </c>
      <c r="H18" s="23">
        <v>1.25</v>
      </c>
      <c r="I18" s="23">
        <v>1.25</v>
      </c>
      <c r="J18" s="23">
        <v>1.25</v>
      </c>
      <c r="K18" s="23">
        <v>1.25</v>
      </c>
    </row>
    <row r="19" spans="1:13" x14ac:dyDescent="0.25">
      <c r="B19" s="3"/>
      <c r="C19" s="23"/>
      <c r="D19" s="30"/>
      <c r="E19" s="30"/>
      <c r="F19" s="30"/>
      <c r="G19" s="160">
        <f ca="1">'Scenario Drivers'!C18</f>
        <v>1.02</v>
      </c>
      <c r="H19" s="160">
        <f ca="1">'Scenario Drivers'!D18</f>
        <v>1.0249999999999999</v>
      </c>
      <c r="I19" s="160">
        <f ca="1">'Scenario Drivers'!E18</f>
        <v>1.0299999999999998</v>
      </c>
      <c r="J19" s="160">
        <f ca="1">'Scenario Drivers'!F18</f>
        <v>1.0349999999999997</v>
      </c>
      <c r="K19" s="160">
        <f ca="1">'Scenario Drivers'!G18</f>
        <v>1.0399999999999996</v>
      </c>
    </row>
    <row r="20" spans="1:13" x14ac:dyDescent="0.25">
      <c r="B20" s="3"/>
      <c r="C20" s="23"/>
      <c r="D20" s="30"/>
      <c r="E20" s="30"/>
      <c r="F20" s="30"/>
      <c r="G20" s="30">
        <f ca="1">G18*G19</f>
        <v>1.2749999999999999</v>
      </c>
      <c r="H20" s="30">
        <f t="shared" ref="H20" ca="1" si="4">H18*H19</f>
        <v>1.28125</v>
      </c>
      <c r="I20" s="30">
        <f t="shared" ref="I20" ca="1" si="5">I18*I19</f>
        <v>1.2874999999999996</v>
      </c>
      <c r="J20" s="30">
        <f t="shared" ref="J20" ca="1" si="6">J18*J19</f>
        <v>1.2937499999999997</v>
      </c>
      <c r="K20" s="30">
        <f t="shared" ref="K20" ca="1" si="7">K18*K19</f>
        <v>1.2999999999999994</v>
      </c>
    </row>
    <row r="21" spans="1:13" x14ac:dyDescent="0.25">
      <c r="B21" s="3" t="s">
        <v>392</v>
      </c>
      <c r="C21" s="28">
        <f>'Consolidated Model'!C8</f>
        <v>1794</v>
      </c>
      <c r="D21" s="28">
        <f>'Consolidated Model'!D8</f>
        <v>2205</v>
      </c>
      <c r="E21" s="28">
        <f>'Consolidated Model'!E8</f>
        <v>2556</v>
      </c>
      <c r="F21" s="28">
        <f>'Consolidated Model'!F8</f>
        <v>2855</v>
      </c>
      <c r="G21" s="11">
        <f ca="1">G16*G20</f>
        <v>3204.0749999999998</v>
      </c>
      <c r="H21" s="11">
        <f ca="1">H16*H20</f>
        <v>3532.6399500000007</v>
      </c>
      <c r="I21" s="11">
        <f ca="1">I16*I20</f>
        <v>3897.8990399999998</v>
      </c>
      <c r="J21" s="11">
        <f ca="1">J16*J20</f>
        <v>4386.8393856000002</v>
      </c>
      <c r="K21" s="11">
        <f ca="1">K16*K20</f>
        <v>4936.9956679679999</v>
      </c>
      <c r="L21" s="37"/>
      <c r="M21" s="37"/>
    </row>
    <row r="22" spans="1:13" x14ac:dyDescent="0.25">
      <c r="B22" s="3"/>
      <c r="C22" s="11"/>
      <c r="D22" s="11"/>
      <c r="E22" s="11"/>
      <c r="F22" s="11"/>
      <c r="G22" s="11"/>
      <c r="H22" s="11"/>
      <c r="I22" s="11"/>
      <c r="J22" s="11"/>
      <c r="K22" s="11"/>
    </row>
    <row r="23" spans="1:13" x14ac:dyDescent="0.25">
      <c r="A23" s="21" t="s">
        <v>76</v>
      </c>
      <c r="B23" s="3" t="s">
        <v>63</v>
      </c>
      <c r="C23" s="30">
        <f>'Consolidated Model'!C9/'Consolidated Model'!C8</f>
        <v>3.5674470457079152E-2</v>
      </c>
      <c r="D23" s="30">
        <f>'Consolidated Model'!D9/'Consolidated Model'!D8</f>
        <v>2.6303854875283448E-2</v>
      </c>
      <c r="E23" s="30">
        <f>'Consolidated Model'!E9/'Consolidated Model'!E8</f>
        <v>2.1126760563380281E-2</v>
      </c>
      <c r="F23" s="30">
        <f>'Consolidated Model'!F9/'Consolidated Model'!F8</f>
        <v>2.2416812609457094E-2</v>
      </c>
      <c r="G23" s="30">
        <f ca="1">'Scenario Drivers'!C23</f>
        <v>0.01</v>
      </c>
      <c r="H23" s="30">
        <f ca="1">'Scenario Drivers'!D23</f>
        <v>9.0000000000000011E-3</v>
      </c>
      <c r="I23" s="30">
        <f ca="1">'Scenario Drivers'!E23</f>
        <v>8.0000000000000002E-3</v>
      </c>
      <c r="J23" s="30">
        <f ca="1">'Scenario Drivers'!F23</f>
        <v>7.0000000000000001E-3</v>
      </c>
      <c r="K23" s="30">
        <f ca="1">'Scenario Drivers'!G23</f>
        <v>6.0000000000000001E-3</v>
      </c>
    </row>
    <row r="24" spans="1:13" x14ac:dyDescent="0.25">
      <c r="A24" s="21"/>
      <c r="B24" s="6" t="s">
        <v>78</v>
      </c>
      <c r="C24" s="32">
        <f>C23*C21</f>
        <v>64</v>
      </c>
      <c r="D24" s="32">
        <f t="shared" ref="D24:H24" si="8">D23*D21</f>
        <v>58</v>
      </c>
      <c r="E24" s="32">
        <f t="shared" si="8"/>
        <v>54</v>
      </c>
      <c r="F24" s="32">
        <f t="shared" si="8"/>
        <v>64</v>
      </c>
      <c r="G24" s="32">
        <f t="shared" ca="1" si="8"/>
        <v>32.040749999999996</v>
      </c>
      <c r="H24" s="32">
        <f t="shared" ca="1" si="8"/>
        <v>31.793759550000011</v>
      </c>
      <c r="I24" s="32">
        <f t="shared" ref="I24" ca="1" si="9">I23*I21</f>
        <v>31.18319232</v>
      </c>
      <c r="J24" s="32">
        <f t="shared" ref="J24:K24" ca="1" si="10">J23*J21</f>
        <v>30.707875699200002</v>
      </c>
      <c r="K24" s="32">
        <f t="shared" ca="1" si="10"/>
        <v>29.621974007807999</v>
      </c>
    </row>
    <row r="25" spans="1:13" x14ac:dyDescent="0.25">
      <c r="B25" s="3"/>
      <c r="C25" s="22"/>
      <c r="D25" s="22"/>
      <c r="E25" s="22"/>
      <c r="F25" s="22"/>
      <c r="H25" s="22"/>
      <c r="I25" s="22"/>
      <c r="J25" s="22"/>
      <c r="K25" s="22"/>
    </row>
    <row r="26" spans="1:13" x14ac:dyDescent="0.25">
      <c r="B26" s="3" t="s">
        <v>79</v>
      </c>
      <c r="C26" s="11">
        <f>'Consolidated Model'!C10</f>
        <v>1858</v>
      </c>
      <c r="D26" s="11">
        <f>'Consolidated Model'!D10</f>
        <v>2263</v>
      </c>
      <c r="E26" s="11">
        <f>'Consolidated Model'!E10</f>
        <v>2610</v>
      </c>
      <c r="F26" s="11">
        <f>'Consolidated Model'!F10</f>
        <v>2919</v>
      </c>
      <c r="G26" s="11">
        <f ca="1">G21+G24</f>
        <v>3236.1157499999999</v>
      </c>
      <c r="H26" s="11">
        <f ca="1">H21+H24</f>
        <v>3564.4337095500009</v>
      </c>
      <c r="I26" s="11">
        <f t="shared" ref="I26:J26" ca="1" si="11">I21+I24</f>
        <v>3929.08223232</v>
      </c>
      <c r="J26" s="11">
        <f t="shared" ca="1" si="11"/>
        <v>4417.5472612991998</v>
      </c>
      <c r="K26" s="11">
        <f t="shared" ref="K26" ca="1" si="12">K21+K24</f>
        <v>4966.6176419758076</v>
      </c>
    </row>
    <row r="27" spans="1:13" x14ac:dyDescent="0.25">
      <c r="B27" s="3" t="s">
        <v>80</v>
      </c>
      <c r="C27" s="22"/>
      <c r="D27" s="20"/>
      <c r="E27" s="24">
        <v>2495</v>
      </c>
      <c r="F27" s="24">
        <v>2850</v>
      </c>
      <c r="G27" s="24">
        <v>3180</v>
      </c>
      <c r="H27" s="11"/>
      <c r="I27" s="11"/>
      <c r="J27" s="11"/>
      <c r="K27" s="11"/>
    </row>
    <row r="28" spans="1:13" x14ac:dyDescent="0.25">
      <c r="B28" s="3" t="s">
        <v>81</v>
      </c>
      <c r="C28" s="22"/>
      <c r="D28" s="20"/>
      <c r="E28" s="20">
        <f>E26/E27</f>
        <v>1.0460921843687374</v>
      </c>
      <c r="F28" s="20">
        <f>F26/F27</f>
        <v>1.0242105263157895</v>
      </c>
      <c r="G28" s="20">
        <f ca="1">G26/G27</f>
        <v>1.017646462264151</v>
      </c>
      <c r="H28" s="20"/>
      <c r="I28" s="20"/>
      <c r="J28" s="20"/>
      <c r="K28" s="20"/>
    </row>
    <row r="29" spans="1:13" x14ac:dyDescent="0.25">
      <c r="B29" s="3" t="s">
        <v>83</v>
      </c>
      <c r="C29" s="22"/>
      <c r="D29" s="22">
        <f>(D26/C26)-1</f>
        <v>0.21797631862217437</v>
      </c>
      <c r="E29" s="22">
        <f t="shared" ref="E29:K29" si="13">(E26/D26)-1</f>
        <v>0.15333627927529836</v>
      </c>
      <c r="F29" s="22">
        <f t="shared" si="13"/>
        <v>0.11839080459770113</v>
      </c>
      <c r="G29" s="22">
        <f t="shared" ca="1" si="13"/>
        <v>0.10863848920863317</v>
      </c>
      <c r="H29" s="22">
        <f t="shared" ca="1" si="13"/>
        <v>0.10145433133842663</v>
      </c>
      <c r="I29" s="22">
        <f t="shared" ca="1" si="13"/>
        <v>0.10230195102044259</v>
      </c>
      <c r="J29" s="22">
        <f t="shared" ca="1" si="13"/>
        <v>0.12432038834951453</v>
      </c>
      <c r="K29" s="22">
        <f t="shared" ca="1" si="13"/>
        <v>0.12429304050391221</v>
      </c>
    </row>
    <row r="30" spans="1:13" x14ac:dyDescent="0.25">
      <c r="H30" s="27"/>
      <c r="I30" s="27"/>
      <c r="J30" s="27"/>
      <c r="K30" s="27"/>
    </row>
    <row r="31" spans="1:13" x14ac:dyDescent="0.25">
      <c r="B31" s="2" t="s">
        <v>65</v>
      </c>
    </row>
    <row r="32" spans="1:13" x14ac:dyDescent="0.25">
      <c r="B32" s="3" t="s">
        <v>68</v>
      </c>
      <c r="G32" s="23">
        <v>-0.2</v>
      </c>
      <c r="H32" s="23">
        <v>-0.2</v>
      </c>
      <c r="I32" s="23">
        <v>-0.2</v>
      </c>
      <c r="J32" s="23">
        <v>-0.2</v>
      </c>
      <c r="K32" s="23">
        <v>-0.2</v>
      </c>
    </row>
    <row r="33" spans="2:13" x14ac:dyDescent="0.25">
      <c r="B33" s="15" t="s">
        <v>377</v>
      </c>
      <c r="G33" s="26">
        <f ca="1">'Scenario Drivers'!C30</f>
        <v>1</v>
      </c>
      <c r="H33" s="26">
        <f ca="1">'Scenario Drivers'!D30</f>
        <v>1</v>
      </c>
      <c r="I33" s="26">
        <f ca="1">'Scenario Drivers'!E30</f>
        <v>1</v>
      </c>
      <c r="J33" s="26">
        <f ca="1">'Scenario Drivers'!F30</f>
        <v>1</v>
      </c>
      <c r="K33" s="26">
        <f ca="1">'Scenario Drivers'!G30</f>
        <v>1</v>
      </c>
    </row>
    <row r="34" spans="2:13" x14ac:dyDescent="0.25">
      <c r="B34" s="3" t="s">
        <v>68</v>
      </c>
      <c r="C34" s="22">
        <f>'Consolidated Model'!C13/'Consolidated Model'!C8</f>
        <v>-0.25863991081382387</v>
      </c>
      <c r="D34" s="22">
        <f>'Consolidated Model'!D13/'Consolidated Model'!D8</f>
        <v>-0.22766439909297051</v>
      </c>
      <c r="E34" s="22">
        <f>'Consolidated Model'!E13/'Consolidated Model'!E8</f>
        <v>-0.21478873239436619</v>
      </c>
      <c r="F34" s="22">
        <f>'Consolidated Model'!F13/'Consolidated Model'!F8</f>
        <v>-0.20245183887915938</v>
      </c>
      <c r="G34" s="30">
        <f ca="1">G32*G33</f>
        <v>-0.2</v>
      </c>
      <c r="H34" s="30">
        <f t="shared" ref="H34:K34" ca="1" si="14">H32*H33</f>
        <v>-0.2</v>
      </c>
      <c r="I34" s="30">
        <f t="shared" ca="1" si="14"/>
        <v>-0.2</v>
      </c>
      <c r="J34" s="30">
        <f t="shared" ca="1" si="14"/>
        <v>-0.2</v>
      </c>
      <c r="K34" s="30">
        <f t="shared" ca="1" si="14"/>
        <v>-0.2</v>
      </c>
    </row>
    <row r="35" spans="2:13" x14ac:dyDescent="0.25">
      <c r="B35" s="3"/>
      <c r="C35" s="22"/>
      <c r="D35" s="22"/>
      <c r="E35" s="22"/>
      <c r="F35" s="22"/>
      <c r="G35" s="23"/>
      <c r="H35" s="23"/>
      <c r="I35" s="23"/>
      <c r="J35" s="23"/>
      <c r="K35" s="23"/>
    </row>
    <row r="36" spans="2:13" x14ac:dyDescent="0.25">
      <c r="B36" s="3" t="s">
        <v>66</v>
      </c>
    </row>
    <row r="37" spans="2:13" x14ac:dyDescent="0.25">
      <c r="B37" s="15" t="s">
        <v>67</v>
      </c>
      <c r="G37" s="154">
        <f>AVERAGE(C40:F40)</f>
        <v>-1.3044929358237547</v>
      </c>
      <c r="H37" s="139">
        <f>G37</f>
        <v>-1.3044929358237547</v>
      </c>
      <c r="I37" s="139">
        <f t="shared" ref="I37:K37" si="15">H37</f>
        <v>-1.3044929358237547</v>
      </c>
      <c r="J37" s="139">
        <f t="shared" si="15"/>
        <v>-1.3044929358237547</v>
      </c>
      <c r="K37" s="139">
        <f t="shared" si="15"/>
        <v>-1.3044929358237547</v>
      </c>
    </row>
    <row r="38" spans="2:13" x14ac:dyDescent="0.25">
      <c r="B38" s="15" t="s">
        <v>376</v>
      </c>
      <c r="C38" s="20"/>
      <c r="D38" s="20"/>
      <c r="E38" s="20"/>
      <c r="F38" s="20"/>
      <c r="G38" s="160">
        <f ca="1">'Scenario Drivers'!C36</f>
        <v>1</v>
      </c>
      <c r="H38" s="160">
        <f ca="1">'Scenario Drivers'!D36</f>
        <v>1</v>
      </c>
      <c r="I38" s="160">
        <f ca="1">'Scenario Drivers'!E36</f>
        <v>1</v>
      </c>
      <c r="J38" s="160">
        <f ca="1">'Scenario Drivers'!F36</f>
        <v>1</v>
      </c>
      <c r="K38" s="160">
        <f ca="1">'Scenario Drivers'!G36</f>
        <v>1</v>
      </c>
    </row>
    <row r="39" spans="2:13" x14ac:dyDescent="0.25">
      <c r="B39" s="3" t="s">
        <v>66</v>
      </c>
      <c r="C39" s="20"/>
      <c r="D39" s="20"/>
      <c r="E39" s="20"/>
      <c r="F39" s="20"/>
      <c r="G39" s="154"/>
      <c r="H39" s="139"/>
      <c r="I39" s="139"/>
      <c r="J39" s="139"/>
      <c r="K39" s="139"/>
    </row>
    <row r="40" spans="2:13" x14ac:dyDescent="0.25">
      <c r="B40" s="15" t="s">
        <v>67</v>
      </c>
      <c r="C40" s="20">
        <f>'Consolidated Model'!C14/'Consolidated Model'!C9</f>
        <v>-1.28125</v>
      </c>
      <c r="D40" s="20">
        <f>'Consolidated Model'!D14/'Consolidated Model'!D9</f>
        <v>-1.3620689655172413</v>
      </c>
      <c r="E40" s="20">
        <f>'Consolidated Model'!E14/'Consolidated Model'!E9</f>
        <v>-1.2777777777777777</v>
      </c>
      <c r="F40" s="20">
        <f>'Consolidated Model'!F14/'Consolidated Model'!F9</f>
        <v>-1.296875</v>
      </c>
      <c r="G40" s="20">
        <f ca="1">G37*G38</f>
        <v>-1.3044929358237547</v>
      </c>
      <c r="H40" s="20">
        <f t="shared" ref="H40:K40" ca="1" si="16">H37*H38</f>
        <v>-1.3044929358237547</v>
      </c>
      <c r="I40" s="20">
        <f t="shared" ca="1" si="16"/>
        <v>-1.3044929358237547</v>
      </c>
      <c r="J40" s="20">
        <f t="shared" ca="1" si="16"/>
        <v>-1.3044929358237547</v>
      </c>
      <c r="K40" s="20">
        <f t="shared" ca="1" si="16"/>
        <v>-1.3044929358237547</v>
      </c>
    </row>
    <row r="42" spans="2:13" x14ac:dyDescent="0.25">
      <c r="B42" s="17" t="s">
        <v>70</v>
      </c>
      <c r="C42" s="33">
        <f>C4</f>
        <v>44957</v>
      </c>
      <c r="D42" s="33">
        <f t="shared" ref="D42:F42" si="17">D4</f>
        <v>45322</v>
      </c>
      <c r="E42" s="33">
        <f t="shared" si="17"/>
        <v>45688</v>
      </c>
      <c r="F42" s="33">
        <f t="shared" si="17"/>
        <v>46053</v>
      </c>
      <c r="G42" s="34">
        <f>EOMONTH(F42,12)</f>
        <v>46418</v>
      </c>
      <c r="H42" s="34">
        <f>EOMONTH(G42,12)</f>
        <v>46783</v>
      </c>
      <c r="I42" s="34">
        <f>EOMONTH(H42,12)</f>
        <v>47149</v>
      </c>
      <c r="J42" s="34">
        <f>EOMONTH(I42,12)</f>
        <v>47514</v>
      </c>
      <c r="K42" s="34">
        <f>EOMONTH(J42,12)</f>
        <v>47879</v>
      </c>
    </row>
    <row r="44" spans="2:13" x14ac:dyDescent="0.25">
      <c r="B44" s="2" t="s">
        <v>45</v>
      </c>
      <c r="C44" s="20"/>
      <c r="D44" s="20"/>
      <c r="E44" s="20"/>
      <c r="F44" s="20"/>
    </row>
    <row r="45" spans="2:13" x14ac:dyDescent="0.25">
      <c r="B45" s="3" t="s">
        <v>84</v>
      </c>
      <c r="C45" s="20"/>
      <c r="D45" s="22">
        <f>(D47/C47)-1</f>
        <v>-0.13129303094664535</v>
      </c>
      <c r="E45" s="22">
        <f t="shared" ref="E45:F45" si="18">(E47/D47)-1</f>
        <v>-0.15145430333613674</v>
      </c>
      <c r="F45" s="22">
        <f t="shared" si="18"/>
        <v>-0.11003640345400589</v>
      </c>
      <c r="G45" s="23">
        <v>-0.05</v>
      </c>
      <c r="H45" s="23">
        <v>-0.05</v>
      </c>
      <c r="I45" s="23">
        <v>-0.05</v>
      </c>
      <c r="J45" s="23">
        <v>-0.05</v>
      </c>
      <c r="K45" s="23">
        <v>-0.05</v>
      </c>
    </row>
    <row r="46" spans="2:13" x14ac:dyDescent="0.25">
      <c r="B46" s="3" t="s">
        <v>376</v>
      </c>
      <c r="C46" s="20"/>
      <c r="D46" s="22"/>
      <c r="E46" s="22"/>
      <c r="F46" s="22"/>
      <c r="G46" s="160">
        <f ca="1">'Scenario Drivers'!C45</f>
        <v>1</v>
      </c>
      <c r="H46" s="160">
        <f ca="1">'Scenario Drivers'!D45</f>
        <v>1</v>
      </c>
      <c r="I46" s="160">
        <f ca="1">'Scenario Drivers'!E45</f>
        <v>1</v>
      </c>
      <c r="J46" s="160">
        <f ca="1">'Scenario Drivers'!F45</f>
        <v>1</v>
      </c>
      <c r="K46" s="160">
        <f ca="1">'Scenario Drivers'!G45</f>
        <v>1</v>
      </c>
    </row>
    <row r="47" spans="2:13" x14ac:dyDescent="0.25">
      <c r="B47" s="3" t="s">
        <v>87</v>
      </c>
      <c r="C47" s="22">
        <f>'Consolidated Model'!C20/'Consolidated Model'!C$10</f>
        <v>-0.33369214208826697</v>
      </c>
      <c r="D47" s="22">
        <f>'Consolidated Model'!D20/'Consolidated Model'!D$10</f>
        <v>-0.28988068935041977</v>
      </c>
      <c r="E47" s="22">
        <f>'Consolidated Model'!E20/'Consolidated Model'!E$10</f>
        <v>-0.24597701149425288</v>
      </c>
      <c r="F47" s="22">
        <f>'Consolidated Model'!F20/'Consolidated Model'!F$10</f>
        <v>-0.21891058581706063</v>
      </c>
      <c r="G47" s="30">
        <f ca="1">IF('EBITDA Sensitivity'!$D$7=1,'EBITDA Sensitivity'!$D$9*'EBITDA Sensitivity'!$D$12,F47*(1+G45*G46))</f>
        <v>-0.20796505652620759</v>
      </c>
      <c r="H47" s="30">
        <f ca="1">IF('EBITDA Sensitivity'!$D$7=1,'EBITDA Sensitivity'!$D$9*'EBITDA Sensitivity'!$D$12,G47*(1+H45*H46))</f>
        <v>-0.19756680369989721</v>
      </c>
      <c r="I47" s="30">
        <f ca="1">IF('EBITDA Sensitivity'!$D$7=1,'EBITDA Sensitivity'!$D$9*'EBITDA Sensitivity'!$D$12,H47*(1+I45*I46))</f>
        <v>-0.18768846351490234</v>
      </c>
      <c r="J47" s="30">
        <f ca="1">IF('EBITDA Sensitivity'!$D$7=1,'EBITDA Sensitivity'!$D$9*'EBITDA Sensitivity'!$D$12,I47*(1+J45*J46))</f>
        <v>-0.17830404033915723</v>
      </c>
      <c r="K47" s="30">
        <f ca="1">IF('EBITDA Sensitivity'!$D$7=1,'EBITDA Sensitivity'!$D$9*'EBITDA Sensitivity'!$D$12,J47*(1+K45*K46))</f>
        <v>-0.16938883832219936</v>
      </c>
      <c r="L47" s="30"/>
      <c r="M47" s="20"/>
    </row>
    <row r="48" spans="2:13" x14ac:dyDescent="0.25">
      <c r="B48" s="6" t="s">
        <v>88</v>
      </c>
      <c r="C48" s="12">
        <f>C$26*C47</f>
        <v>-620</v>
      </c>
      <c r="D48" s="12">
        <f t="shared" ref="D48:J48" si="19">D$26*D47</f>
        <v>-656</v>
      </c>
      <c r="E48" s="12">
        <f t="shared" si="19"/>
        <v>-642</v>
      </c>
      <c r="F48" s="12">
        <f t="shared" si="19"/>
        <v>-639</v>
      </c>
      <c r="G48" s="12">
        <f t="shared" ca="1" si="19"/>
        <v>-672.99899487410062</v>
      </c>
      <c r="H48" s="12">
        <f t="shared" ca="1" si="19"/>
        <v>-704.21377499596144</v>
      </c>
      <c r="I48" s="12">
        <f t="shared" ca="1" si="19"/>
        <v>-737.44340720784339</v>
      </c>
      <c r="J48" s="12">
        <f t="shared" ca="1" si="19"/>
        <v>-787.66652507882611</v>
      </c>
      <c r="K48" s="12">
        <f t="shared" ref="K48" ca="1" si="20">K$26*K47</f>
        <v>-841.28959276482317</v>
      </c>
    </row>
    <row r="49" spans="2:13" x14ac:dyDescent="0.25">
      <c r="B49" s="3"/>
      <c r="C49" s="22"/>
      <c r="D49" s="22"/>
      <c r="E49" s="22"/>
      <c r="F49" s="22"/>
      <c r="G49" s="23"/>
      <c r="H49" s="23"/>
      <c r="I49" s="23"/>
      <c r="J49" s="23"/>
      <c r="K49" s="23"/>
    </row>
    <row r="50" spans="2:13" x14ac:dyDescent="0.25">
      <c r="B50" s="3" t="s">
        <v>85</v>
      </c>
      <c r="C50" s="22"/>
      <c r="D50" s="22">
        <f t="shared" ref="D50:F50" si="21">(D52/C52)-1</f>
        <v>-0.20207199760566219</v>
      </c>
      <c r="E50" s="22">
        <f t="shared" si="21"/>
        <v>-0.19237155875086909</v>
      </c>
      <c r="F50" s="22">
        <f t="shared" si="21"/>
        <v>-5.674986287801731E-2</v>
      </c>
      <c r="G50" s="23">
        <v>-0.05</v>
      </c>
      <c r="H50" s="23">
        <v>-0.05</v>
      </c>
      <c r="I50" s="23">
        <v>-0.05</v>
      </c>
      <c r="J50" s="23">
        <v>-0.05</v>
      </c>
      <c r="K50" s="23">
        <v>-0.05</v>
      </c>
    </row>
    <row r="51" spans="2:13" x14ac:dyDescent="0.25">
      <c r="B51" s="3" t="s">
        <v>376</v>
      </c>
      <c r="C51" s="22"/>
      <c r="D51" s="22"/>
      <c r="E51" s="22"/>
      <c r="F51" s="22"/>
      <c r="G51" s="160">
        <f ca="1">'Scenario Drivers'!C50</f>
        <v>1</v>
      </c>
      <c r="H51" s="160">
        <f ca="1">'Scenario Drivers'!D50</f>
        <v>1</v>
      </c>
      <c r="I51" s="160">
        <f ca="1">'Scenario Drivers'!E50</f>
        <v>1</v>
      </c>
      <c r="J51" s="160">
        <f ca="1">'Scenario Drivers'!F50</f>
        <v>1</v>
      </c>
      <c r="K51" s="160">
        <f ca="1">'Scenario Drivers'!G50</f>
        <v>1</v>
      </c>
    </row>
    <row r="52" spans="2:13" x14ac:dyDescent="0.25">
      <c r="B52" s="3" t="s">
        <v>89</v>
      </c>
      <c r="C52" s="22">
        <f>'Consolidated Model'!C21/'Consolidated Model'!C$10</f>
        <v>-0.57373519913885895</v>
      </c>
      <c r="D52" s="22">
        <f>'Consolidated Model'!D21/'Consolidated Model'!D$10</f>
        <v>-0.45779938135218734</v>
      </c>
      <c r="E52" s="22">
        <f>'Consolidated Model'!E21/'Consolidated Model'!E$10</f>
        <v>-0.36973180076628354</v>
      </c>
      <c r="F52" s="22">
        <f>'Consolidated Model'!F21/'Consolidated Model'!F$10</f>
        <v>-0.34874957177115451</v>
      </c>
      <c r="G52" s="30">
        <f ca="1">IF('EBITDA Sensitivity'!$D$7=1,'EBITDA Sensitivity'!$D$9*'EBITDA Sensitivity'!$D$13,F52*(1+G50*G51))</f>
        <v>-0.33131209318259675</v>
      </c>
      <c r="H52" s="30">
        <f ca="1">IF('EBITDA Sensitivity'!$D$7=1,'EBITDA Sensitivity'!$D$9*'EBITDA Sensitivity'!$D$13,G52*(1+H50*H51))</f>
        <v>-0.31474648852346687</v>
      </c>
      <c r="I52" s="30">
        <f ca="1">IF('EBITDA Sensitivity'!$D$7=1,'EBITDA Sensitivity'!$D$9*'EBITDA Sensitivity'!$D$13,H52*(1+I50*I51))</f>
        <v>-0.2990091640972935</v>
      </c>
      <c r="J52" s="30">
        <f ca="1">IF('EBITDA Sensitivity'!$D$7=1,'EBITDA Sensitivity'!$D$9*'EBITDA Sensitivity'!$D$13,I52*(1+J50*J51))</f>
        <v>-0.28405870589242882</v>
      </c>
      <c r="K52" s="30">
        <f ca="1">IF('EBITDA Sensitivity'!$D$7=1,'EBITDA Sensitivity'!$D$9*'EBITDA Sensitivity'!$D$13,J52*(1+K50*K51))</f>
        <v>-0.26985577059780735</v>
      </c>
      <c r="L52" s="30"/>
      <c r="M52" s="20"/>
    </row>
    <row r="53" spans="2:13" x14ac:dyDescent="0.25">
      <c r="B53" s="6" t="s">
        <v>90</v>
      </c>
      <c r="C53" s="12">
        <f>C$26*C52</f>
        <v>-1066</v>
      </c>
      <c r="D53" s="12">
        <f t="shared" ref="D53" si="22">D$26*D52</f>
        <v>-1036</v>
      </c>
      <c r="E53" s="12">
        <f t="shared" ref="E53" si="23">E$26*E52</f>
        <v>-965</v>
      </c>
      <c r="F53" s="12">
        <f t="shared" ref="F53" si="24">F$26*F52</f>
        <v>-1018</v>
      </c>
      <c r="G53" s="12">
        <f t="shared" ref="G53" ca="1" si="25">G$26*G52</f>
        <v>-1072.164282913669</v>
      </c>
      <c r="H53" s="12">
        <f t="shared" ref="H53" ca="1" si="26">H$26*H52</f>
        <v>-1121.8929936555378</v>
      </c>
      <c r="I53" s="12">
        <f t="shared" ref="I53" ca="1" si="27">I$26*I52</f>
        <v>-1174.8315939555312</v>
      </c>
      <c r="J53" s="12">
        <f t="shared" ref="J53:K53" ca="1" si="28">J$26*J52</f>
        <v>-1254.8427582632937</v>
      </c>
      <c r="K53" s="12">
        <f t="shared" ca="1" si="28"/>
        <v>-1340.2704310400463</v>
      </c>
      <c r="L53" s="26"/>
    </row>
    <row r="54" spans="2:13" x14ac:dyDescent="0.25">
      <c r="B54" s="3"/>
      <c r="C54" s="22"/>
      <c r="D54" s="22"/>
      <c r="E54" s="22"/>
      <c r="F54" s="22"/>
      <c r="G54" s="22"/>
      <c r="H54" s="22"/>
      <c r="I54" s="22"/>
      <c r="J54" s="22"/>
      <c r="K54" s="22"/>
      <c r="L54" s="22"/>
    </row>
    <row r="55" spans="2:13" x14ac:dyDescent="0.25">
      <c r="B55" s="3" t="s">
        <v>95</v>
      </c>
      <c r="C55" s="22"/>
      <c r="D55" s="22">
        <f t="shared" ref="D55:E55" si="29">D56/D29</f>
        <v>-0.44345106203635426</v>
      </c>
      <c r="E55" s="22">
        <f t="shared" si="29"/>
        <v>-0.89218120409322554</v>
      </c>
      <c r="F55" s="22">
        <f>F56/F29</f>
        <v>-0.89414182939362807</v>
      </c>
      <c r="G55" s="162">
        <v>-0.9</v>
      </c>
      <c r="H55" s="162">
        <v>-0.9</v>
      </c>
      <c r="I55" s="162">
        <v>-0.9</v>
      </c>
      <c r="J55" s="162">
        <v>-0.9</v>
      </c>
      <c r="K55" s="162">
        <v>-0.9</v>
      </c>
      <c r="L55" s="22"/>
    </row>
    <row r="56" spans="2:13" x14ac:dyDescent="0.25">
      <c r="B56" s="3" t="s">
        <v>86</v>
      </c>
      <c r="C56" s="22"/>
      <c r="D56" s="22">
        <f t="shared" ref="D56" si="30">(D58/C58)-1</f>
        <v>-9.666182999177797E-2</v>
      </c>
      <c r="E56" s="22">
        <f t="shared" ref="E56" si="31">(E58/D58)-1</f>
        <v>-0.1368037462750108</v>
      </c>
      <c r="F56" s="22">
        <f t="shared" ref="F56" si="32">(F58/E58)-1</f>
        <v>-0.10585817060637204</v>
      </c>
      <c r="G56" s="30">
        <f ca="1">G29*G55</f>
        <v>-9.7774640287769859E-2</v>
      </c>
      <c r="H56" s="30">
        <f t="shared" ref="H56:K56" ca="1" si="33">H29*H55</f>
        <v>-9.1308898204583974E-2</v>
      </c>
      <c r="I56" s="30">
        <f t="shared" ca="1" si="33"/>
        <v>-9.2071755918398335E-2</v>
      </c>
      <c r="J56" s="30">
        <f t="shared" ca="1" si="33"/>
        <v>-0.11188834951456308</v>
      </c>
      <c r="K56" s="30">
        <f t="shared" ca="1" si="33"/>
        <v>-0.11186373645352099</v>
      </c>
      <c r="L56" s="22"/>
    </row>
    <row r="57" spans="2:13" x14ac:dyDescent="0.25">
      <c r="B57" s="3" t="s">
        <v>376</v>
      </c>
      <c r="C57" s="22"/>
      <c r="D57" s="22"/>
      <c r="E57" s="22"/>
      <c r="F57" s="22"/>
      <c r="G57" s="160">
        <f ca="1">'Scenario Drivers'!C55</f>
        <v>1</v>
      </c>
      <c r="H57" s="160">
        <f ca="1">'Scenario Drivers'!D55</f>
        <v>1</v>
      </c>
      <c r="I57" s="160">
        <f ca="1">'Scenario Drivers'!E55</f>
        <v>1</v>
      </c>
      <c r="J57" s="160">
        <f ca="1">'Scenario Drivers'!F55</f>
        <v>1</v>
      </c>
      <c r="K57" s="160">
        <f ca="1">'Scenario Drivers'!G55</f>
        <v>1</v>
      </c>
      <c r="L57" s="22"/>
    </row>
    <row r="58" spans="2:13" x14ac:dyDescent="0.25">
      <c r="B58" s="3" t="s">
        <v>91</v>
      </c>
      <c r="C58" s="22">
        <f>'Consolidated Model'!C22/'Consolidated Model'!C$10</f>
        <v>-0.2201291711517761</v>
      </c>
      <c r="D58" s="22">
        <f>'Consolidated Model'!D22/'Consolidated Model'!D$10</f>
        <v>-0.19885108263367213</v>
      </c>
      <c r="E58" s="22">
        <f>'Consolidated Model'!E22/'Consolidated Model'!E$10</f>
        <v>-0.17164750957854405</v>
      </c>
      <c r="F58" s="22">
        <f>'Consolidated Model'!F22/'Consolidated Model'!F$10</f>
        <v>-0.15347721822541965</v>
      </c>
      <c r="G58" s="30">
        <f ca="1">IF('EBITDA Sensitivity'!$D$7=1,'EBITDA Sensitivity'!$D$9*'EBITDA Sensitivity'!$D$14,F58*(1+G56*G57))</f>
        <v>-0.1384710384210617</v>
      </c>
      <c r="H58" s="30">
        <f ca="1">IF('EBITDA Sensitivity'!$D$7=1,'EBITDA Sensitivity'!$D$9*'EBITDA Sensitivity'!$D$14,G58*(1+H56*H57))</f>
        <v>-0.12582740046958996</v>
      </c>
      <c r="I58" s="30">
        <f ca="1">IF('EBITDA Sensitivity'!$D$7=1,'EBITDA Sensitivity'!$D$9*'EBITDA Sensitivity'!$D$14,H58*(1+I56*I57))</f>
        <v>-0.11424225076570731</v>
      </c>
      <c r="J58" s="30">
        <f ca="1">IF('EBITDA Sensitivity'!$D$7=1,'EBITDA Sensitivity'!$D$9*'EBITDA Sensitivity'!$D$14,I58*(1+J56*J57))</f>
        <v>-0.10145987388270349</v>
      </c>
      <c r="K58" s="30">
        <f ca="1">IF('EBITDA Sensitivity'!$D$7=1,'EBITDA Sensitivity'!$D$9*'EBITDA Sensitivity'!$D$14,J58*(1+K56*K57))</f>
        <v>-9.011019329008127E-2</v>
      </c>
      <c r="L58" s="30"/>
      <c r="M58" s="20"/>
    </row>
    <row r="59" spans="2:13" x14ac:dyDescent="0.25">
      <c r="B59" s="6" t="s">
        <v>92</v>
      </c>
      <c r="C59" s="12">
        <f>C$26*C58</f>
        <v>-409</v>
      </c>
      <c r="D59" s="12">
        <f t="shared" ref="D59" si="34">D$26*D58</f>
        <v>-450</v>
      </c>
      <c r="E59" s="12">
        <f t="shared" ref="E59" si="35">E$26*E58</f>
        <v>-447.99999999999994</v>
      </c>
      <c r="F59" s="12">
        <f t="shared" ref="F59" si="36">F$26*F58</f>
        <v>-447.99999999999994</v>
      </c>
      <c r="G59" s="12">
        <f t="shared" ref="G59" ca="1" si="37">G$26*G58</f>
        <v>-448.10830835325288</v>
      </c>
      <c r="H59" s="12">
        <f t="shared" ref="H59" ca="1" si="38">H$26*H58</f>
        <v>-448.50342781885405</v>
      </c>
      <c r="I59" s="12">
        <f t="shared" ref="I59" ca="1" si="39">I$26*I58</f>
        <v>-448.8671976637865</v>
      </c>
      <c r="J59" s="12">
        <f t="shared" ref="J59:K59" ca="1" si="40">J$26*J58</f>
        <v>-448.20378800229901</v>
      </c>
      <c r="K59" s="12">
        <f t="shared" ca="1" si="40"/>
        <v>-447.54287571636769</v>
      </c>
      <c r="L59" s="26"/>
    </row>
    <row r="60" spans="2:13" x14ac:dyDescent="0.25">
      <c r="B60" s="3"/>
      <c r="C60" s="22"/>
      <c r="D60" s="22"/>
      <c r="E60" s="22"/>
      <c r="F60" s="22"/>
      <c r="G60" s="22"/>
      <c r="H60" s="22"/>
      <c r="I60" s="22"/>
      <c r="J60" s="22"/>
      <c r="K60" s="22"/>
      <c r="L60" s="22"/>
    </row>
    <row r="61" spans="2:13" x14ac:dyDescent="0.25">
      <c r="B61" s="3" t="s">
        <v>93</v>
      </c>
      <c r="C61" s="22">
        <f>'Consolidated Model'!C23/'Consolidated Model'!C$10</f>
        <v>-1.5608180839612486E-2</v>
      </c>
      <c r="D61" s="22">
        <f>'Consolidated Model'!D23/'Consolidated Model'!D$10</f>
        <v>-2.4745912505523642E-2</v>
      </c>
      <c r="E61" s="22">
        <f>'Consolidated Model'!E23/'Consolidated Model'!E$10</f>
        <v>-4.2145593869731797E-3</v>
      </c>
      <c r="F61" s="22">
        <f>'Consolidated Model'!F23/'Consolidated Model'!F$10</f>
        <v>-1.3703323055841042E-3</v>
      </c>
      <c r="G61" s="23">
        <v>-1E-3</v>
      </c>
      <c r="H61" s="23">
        <v>-1E-3</v>
      </c>
      <c r="I61" s="23">
        <v>-1E-3</v>
      </c>
      <c r="J61" s="23">
        <v>-1E-3</v>
      </c>
      <c r="K61" s="23">
        <v>-1E-3</v>
      </c>
      <c r="L61" s="30"/>
      <c r="M61" s="20"/>
    </row>
    <row r="62" spans="2:13" x14ac:dyDescent="0.25">
      <c r="B62" s="6" t="s">
        <v>94</v>
      </c>
      <c r="C62" s="12">
        <f>C$26*C61</f>
        <v>-29</v>
      </c>
      <c r="D62" s="12">
        <f>D$26*D61</f>
        <v>-56</v>
      </c>
      <c r="E62" s="12">
        <f>E$26*E61</f>
        <v>-10.999999999999998</v>
      </c>
      <c r="F62" s="12">
        <f>F$26*F61</f>
        <v>-4</v>
      </c>
      <c r="G62" s="12">
        <f ca="1">IF('EBITDA Sensitivity'!$D$7=1,'EBITDA Sensitivity'!$D$9*'EBITDA Sensitivity'!$D$15*G26,G$26*G61)</f>
        <v>-3.2361157500000002</v>
      </c>
      <c r="H62" s="12">
        <f ca="1">IF('EBITDA Sensitivity'!$D$7=1,'EBITDA Sensitivity'!$D$9*'EBITDA Sensitivity'!$D$15*H26,H$26*H61)</f>
        <v>-3.5644337095500012</v>
      </c>
      <c r="I62" s="12">
        <f ca="1">IF('EBITDA Sensitivity'!$D$7=1,'EBITDA Sensitivity'!$D$9*'EBITDA Sensitivity'!$D$15*I26,I$26*I61)</f>
        <v>-3.9290822323199999</v>
      </c>
      <c r="J62" s="12">
        <f ca="1">IF('EBITDA Sensitivity'!$D$7=1,'EBITDA Sensitivity'!$D$9*'EBITDA Sensitivity'!$D$15*J26,J$26*J61)</f>
        <v>-4.4175472612991999</v>
      </c>
      <c r="K62" s="12">
        <f ca="1">IF('EBITDA Sensitivity'!$D$7=1,'EBITDA Sensitivity'!$D$9*'EBITDA Sensitivity'!$D$15*K26,K$26*K61)</f>
        <v>-4.9666176419758079</v>
      </c>
    </row>
    <row r="63" spans="2:13" x14ac:dyDescent="0.25">
      <c r="C63" s="20"/>
      <c r="D63" s="20"/>
      <c r="E63" s="20"/>
      <c r="F63" s="20"/>
    </row>
    <row r="64" spans="2:13" x14ac:dyDescent="0.25">
      <c r="C64" s="20"/>
      <c r="D64" s="20"/>
      <c r="E64" s="20"/>
      <c r="F64" s="20"/>
    </row>
    <row r="65" spans="2:11" x14ac:dyDescent="0.25">
      <c r="B65" s="17" t="s">
        <v>98</v>
      </c>
      <c r="C65" s="33">
        <f>C4</f>
        <v>44957</v>
      </c>
      <c r="D65" s="33">
        <f t="shared" ref="D65:F65" si="41">D4</f>
        <v>45322</v>
      </c>
      <c r="E65" s="33">
        <f t="shared" si="41"/>
        <v>45688</v>
      </c>
      <c r="F65" s="33">
        <f t="shared" si="41"/>
        <v>46053</v>
      </c>
      <c r="G65" s="34">
        <f t="shared" ref="G65" si="42">EOMONTH(F65,12)</f>
        <v>46418</v>
      </c>
      <c r="H65" s="34">
        <f t="shared" ref="H65" si="43">EOMONTH(G65,12)</f>
        <v>46783</v>
      </c>
      <c r="I65" s="34">
        <f t="shared" ref="I65" si="44">EOMONTH(H65,12)</f>
        <v>47149</v>
      </c>
      <c r="J65" s="34">
        <f t="shared" ref="J65:K65" si="45">EOMONTH(I65,12)</f>
        <v>47514</v>
      </c>
      <c r="K65" s="34">
        <f t="shared" si="45"/>
        <v>47879</v>
      </c>
    </row>
    <row r="66" spans="2:11" x14ac:dyDescent="0.25">
      <c r="C66" s="20"/>
      <c r="D66" s="20"/>
      <c r="E66" s="20"/>
      <c r="F66" s="20"/>
    </row>
    <row r="67" spans="2:11" x14ac:dyDescent="0.25">
      <c r="B67" t="s">
        <v>97</v>
      </c>
      <c r="C67" s="22">
        <f>IFERROR('Consolidated Model'!C33/SUM('Consolidated Model'!C52:C52),0)</f>
        <v>0</v>
      </c>
      <c r="D67" s="22">
        <f>IFERROR('Consolidated Model'!D33/SUM('Consolidated Model'!#REF!),0)</f>
        <v>0</v>
      </c>
      <c r="E67" s="22">
        <f>IFERROR('Consolidated Model'!E33/SUM('Consolidated Model'!E52:E52),0)</f>
        <v>4.7562425683709872E-2</v>
      </c>
      <c r="F67" s="22">
        <f>IFERROR('Consolidated Model'!F33/SUM('Consolidated Model'!F52:F52),0)</f>
        <v>4.1519780650215436E-2</v>
      </c>
      <c r="G67" s="30">
        <f ca="1">'Scenario Drivers'!C63</f>
        <v>4.2000000000000003E-2</v>
      </c>
      <c r="H67" s="30">
        <f ca="1">'Scenario Drivers'!D63</f>
        <v>4.2000000000000003E-2</v>
      </c>
      <c r="I67" s="30">
        <f ca="1">'Scenario Drivers'!E63</f>
        <v>4.2000000000000003E-2</v>
      </c>
      <c r="J67" s="30">
        <f ca="1">'Scenario Drivers'!F63</f>
        <v>4.2000000000000003E-2</v>
      </c>
      <c r="K67" s="30">
        <f ca="1">'Scenario Drivers'!G63</f>
        <v>4.2000000000000003E-2</v>
      </c>
    </row>
    <row r="68" spans="2:11" x14ac:dyDescent="0.25">
      <c r="C68" s="22"/>
      <c r="D68" s="22"/>
      <c r="E68" s="22"/>
      <c r="F68" s="22"/>
      <c r="G68" s="23"/>
      <c r="H68" s="23"/>
      <c r="I68" s="23"/>
      <c r="J68" s="23"/>
      <c r="K68" s="23"/>
    </row>
    <row r="69" spans="2:11" x14ac:dyDescent="0.25">
      <c r="B69" t="s">
        <v>339</v>
      </c>
      <c r="C69" s="22"/>
      <c r="D69" s="22"/>
      <c r="E69" s="22"/>
      <c r="F69" s="22"/>
      <c r="G69" s="24">
        <v>-22</v>
      </c>
      <c r="H69" s="24">
        <v>-24</v>
      </c>
      <c r="I69" s="24">
        <v>-26</v>
      </c>
      <c r="J69" s="24">
        <v>-28</v>
      </c>
      <c r="K69" s="24">
        <v>-28</v>
      </c>
    </row>
    <row r="70" spans="2:11" x14ac:dyDescent="0.25">
      <c r="C70" s="20"/>
      <c r="D70" s="20"/>
      <c r="E70" s="20"/>
      <c r="F70" s="20"/>
    </row>
    <row r="71" spans="2:11" x14ac:dyDescent="0.25">
      <c r="B71" s="2" t="s">
        <v>99</v>
      </c>
      <c r="C71" s="20"/>
      <c r="D71" s="20"/>
      <c r="E71" s="20"/>
      <c r="F71" s="20"/>
    </row>
    <row r="72" spans="2:11" x14ac:dyDescent="0.25">
      <c r="B72" s="3" t="s">
        <v>101</v>
      </c>
      <c r="C72" s="20"/>
      <c r="D72" s="20"/>
      <c r="E72" s="20"/>
      <c r="F72" s="20"/>
      <c r="G72" s="55">
        <v>85</v>
      </c>
      <c r="H72" s="38"/>
      <c r="I72" s="38"/>
    </row>
    <row r="73" spans="2:11" x14ac:dyDescent="0.25">
      <c r="B73" s="3" t="s">
        <v>100</v>
      </c>
      <c r="C73" s="20"/>
      <c r="D73" s="20"/>
      <c r="E73" s="20"/>
      <c r="F73" s="20"/>
      <c r="G73" s="24">
        <v>1000</v>
      </c>
    </row>
    <row r="74" spans="2:11" x14ac:dyDescent="0.25">
      <c r="B74" s="3" t="s">
        <v>103</v>
      </c>
      <c r="C74" s="11"/>
      <c r="D74" s="11"/>
      <c r="E74" s="11"/>
      <c r="F74" s="11"/>
      <c r="G74" s="11">
        <f>-G73/G72</f>
        <v>-11.764705882352942</v>
      </c>
    </row>
    <row r="75" spans="2:11" x14ac:dyDescent="0.25">
      <c r="B75" s="3"/>
      <c r="C75" s="11"/>
      <c r="D75" s="11"/>
      <c r="E75" s="11"/>
      <c r="F75" s="11"/>
      <c r="G75" s="11"/>
    </row>
    <row r="76" spans="2:11" x14ac:dyDescent="0.25">
      <c r="B76" s="3" t="s">
        <v>104</v>
      </c>
      <c r="C76" s="11"/>
      <c r="D76" s="22">
        <f>('Consolidated Model'!D40/'Consolidated Model'!C40)-1</f>
        <v>3.5507489416097604E-2</v>
      </c>
      <c r="E76" s="22">
        <f>('Consolidated Model'!E40/'Consolidated Model'!D40)-1</f>
        <v>3.6269968343987102E-2</v>
      </c>
      <c r="F76" s="22">
        <f>('Consolidated Model'!F40/'Consolidated Model'!E40)-1</f>
        <v>3.7229682312215129E-2</v>
      </c>
      <c r="G76" s="23">
        <v>3.7229682312215129E-2</v>
      </c>
      <c r="H76" s="23">
        <v>3.7229682312215129E-2</v>
      </c>
      <c r="I76" s="23">
        <v>3.7229682312215129E-2</v>
      </c>
      <c r="J76" s="23">
        <v>3.7229682312215129E-2</v>
      </c>
      <c r="K76" s="23">
        <v>3.7229682312215129E-2</v>
      </c>
    </row>
    <row r="77" spans="2:11" x14ac:dyDescent="0.25">
      <c r="B77" s="3" t="s">
        <v>102</v>
      </c>
      <c r="C77" s="39"/>
      <c r="D77" s="39">
        <f>'Consolidated Model'!D40-'Consolidated Model'!C40</f>
        <v>5.61099999999999</v>
      </c>
      <c r="E77" s="39">
        <f>'Consolidated Model'!E40-'Consolidated Model'!D40</f>
        <v>5.9350000000000023</v>
      </c>
      <c r="F77" s="39">
        <f>'Consolidated Model'!F40-'Consolidated Model'!E40</f>
        <v>6.3130000000000166</v>
      </c>
      <c r="G77" s="39">
        <f>'Consolidated Model'!F40*G76+G74</f>
        <v>-5.2166748979159205</v>
      </c>
      <c r="H77" s="39">
        <f>'Consolidated Model'!G40*H76+H74</f>
        <v>6.3538158352615053</v>
      </c>
      <c r="I77" s="39">
        <f>'Consolidated Model'!H40*I76+I74</f>
        <v>6.5903663802786125</v>
      </c>
      <c r="J77" s="39">
        <f>'Consolidated Model'!I40*J76+J74</f>
        <v>6.8357236269374893</v>
      </c>
      <c r="K77" s="39">
        <f>'Consolidated Model'!J40*K76+K74</f>
        <v>7.0902154459424755</v>
      </c>
    </row>
    <row r="78" spans="2:11" x14ac:dyDescent="0.25">
      <c r="C78" s="20"/>
      <c r="D78" s="20"/>
      <c r="E78" s="20"/>
      <c r="F78" s="20"/>
      <c r="G78" s="11"/>
    </row>
    <row r="79" spans="2:11" x14ac:dyDescent="0.25">
      <c r="B79" s="3" t="s">
        <v>105</v>
      </c>
      <c r="C79" s="22">
        <f>('Consolidated Model'!C41/'Consolidated Model'!C40)-1</f>
        <v>0</v>
      </c>
      <c r="D79" s="22">
        <f>('Consolidated Model'!D41/'Consolidated Model'!D40)-1</f>
        <v>0</v>
      </c>
      <c r="E79" s="22">
        <f>('Consolidated Model'!E41/'Consolidated Model'!E40)-1</f>
        <v>3.2535428055835869E-2</v>
      </c>
      <c r="F79" s="22">
        <f>('Consolidated Model'!F41/'Consolidated Model'!F40)-1</f>
        <v>1.9376627511626943E-2</v>
      </c>
      <c r="G79" s="22">
        <v>1.4999999999999999E-2</v>
      </c>
      <c r="H79" s="22">
        <v>0.01</v>
      </c>
      <c r="I79" s="22">
        <v>0.01</v>
      </c>
      <c r="J79" s="22">
        <v>0.01</v>
      </c>
      <c r="K79" s="22">
        <v>0.01</v>
      </c>
    </row>
    <row r="80" spans="2:11" x14ac:dyDescent="0.25">
      <c r="B80" s="3"/>
      <c r="C80" s="20"/>
      <c r="D80" s="22"/>
      <c r="E80" s="22"/>
      <c r="F80" s="22"/>
      <c r="G80" s="20"/>
      <c r="H80" s="20"/>
      <c r="I80" s="20"/>
      <c r="J80" s="20"/>
      <c r="K80" s="20"/>
    </row>
  </sheetData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67F-B336-4D76-921D-F11CA383C6F9}">
  <sheetPr codeName="Sheet6">
    <tabColor theme="8" tint="0.79998168889431442"/>
  </sheetPr>
  <dimension ref="B1:K53"/>
  <sheetViews>
    <sheetView showGridLines="0" zoomScale="80" zoomScaleNormal="80" workbookViewId="0">
      <selection activeCell="G1" sqref="G1"/>
    </sheetView>
  </sheetViews>
  <sheetFormatPr defaultRowHeight="15" x14ac:dyDescent="0.25"/>
  <cols>
    <col min="2" max="2" width="41.5703125" bestFit="1" customWidth="1"/>
  </cols>
  <sheetData>
    <row r="1" spans="2:11" x14ac:dyDescent="0.25">
      <c r="B1" s="2"/>
      <c r="C1" s="56"/>
      <c r="D1" s="56"/>
      <c r="E1" s="56"/>
      <c r="F1" s="56"/>
      <c r="G1" s="56"/>
      <c r="H1" s="56"/>
      <c r="I1" s="56"/>
      <c r="J1" s="56"/>
      <c r="K1" s="56"/>
    </row>
    <row r="2" spans="2:11" x14ac:dyDescent="0.25">
      <c r="B2" s="2"/>
      <c r="C2" s="56"/>
      <c r="D2" s="56"/>
      <c r="E2" s="56"/>
      <c r="F2" s="56"/>
      <c r="G2" s="56"/>
      <c r="H2" s="56"/>
      <c r="I2" s="56"/>
      <c r="J2" s="56"/>
      <c r="K2" s="56"/>
    </row>
    <row r="3" spans="2:11" x14ac:dyDescent="0.25">
      <c r="B3" s="2"/>
      <c r="C3" s="56"/>
      <c r="D3" s="56"/>
      <c r="E3" s="56"/>
      <c r="F3" s="56"/>
      <c r="G3" s="56"/>
      <c r="H3" s="56"/>
      <c r="I3" s="56"/>
      <c r="J3" s="56"/>
      <c r="K3" s="56"/>
    </row>
    <row r="4" spans="2:11" x14ac:dyDescent="0.25">
      <c r="B4" s="17" t="s">
        <v>106</v>
      </c>
      <c r="C4" s="33">
        <v>44957</v>
      </c>
      <c r="D4" s="33">
        <f>EOMONTH(C4,12)</f>
        <v>45322</v>
      </c>
      <c r="E4" s="33">
        <f t="shared" ref="E4" si="0">EOMONTH(D4,12)</f>
        <v>45688</v>
      </c>
      <c r="F4" s="33">
        <f t="shared" ref="F4" si="1">EOMONTH(E4,12)</f>
        <v>46053</v>
      </c>
      <c r="G4" s="34">
        <f t="shared" ref="G4" si="2">EOMONTH(F4,12)</f>
        <v>46418</v>
      </c>
      <c r="H4" s="34">
        <f t="shared" ref="H4" si="3">EOMONTH(G4,12)</f>
        <v>46783</v>
      </c>
      <c r="I4" s="34">
        <f t="shared" ref="I4" si="4">EOMONTH(H4,12)</f>
        <v>47149</v>
      </c>
      <c r="J4" s="34">
        <f t="shared" ref="J4" si="5">EOMONTH(I4,12)</f>
        <v>47514</v>
      </c>
      <c r="K4" s="34">
        <f t="shared" ref="K4" si="6">EOMONTH(J4,12)</f>
        <v>47879</v>
      </c>
    </row>
    <row r="5" spans="2:11" x14ac:dyDescent="0.25">
      <c r="B5" s="2"/>
      <c r="C5" s="56"/>
      <c r="D5" s="56"/>
      <c r="E5" s="56"/>
      <c r="F5" s="56"/>
      <c r="G5" s="56"/>
      <c r="H5" s="56"/>
      <c r="I5" s="56"/>
      <c r="J5" s="56"/>
      <c r="K5" s="56"/>
    </row>
    <row r="6" spans="2:11" x14ac:dyDescent="0.25">
      <c r="B6" s="57" t="s">
        <v>2</v>
      </c>
      <c r="C6" s="30"/>
      <c r="D6" s="30"/>
      <c r="E6" s="30"/>
      <c r="F6" s="30"/>
      <c r="G6" s="23"/>
      <c r="H6" s="23"/>
      <c r="I6" s="23"/>
      <c r="J6" s="23"/>
      <c r="K6" s="23"/>
    </row>
    <row r="7" spans="2:11" x14ac:dyDescent="0.25">
      <c r="B7" s="3" t="s">
        <v>108</v>
      </c>
      <c r="C7" s="24"/>
      <c r="D7" s="24"/>
      <c r="E7" s="30">
        <f>E8/D8</f>
        <v>0.96321633458762568</v>
      </c>
      <c r="F7" s="30">
        <f>F8/E8</f>
        <v>0.98917139580261249</v>
      </c>
      <c r="G7" s="23">
        <v>0.99</v>
      </c>
      <c r="H7" s="23">
        <v>0.99</v>
      </c>
      <c r="I7" s="23">
        <v>0.99</v>
      </c>
      <c r="J7" s="23">
        <v>0.99</v>
      </c>
      <c r="K7" s="23">
        <v>0.99</v>
      </c>
    </row>
    <row r="8" spans="2:11" x14ac:dyDescent="0.25">
      <c r="B8" s="3" t="s">
        <v>107</v>
      </c>
      <c r="C8" s="24"/>
      <c r="D8" s="30">
        <f>'Consolidated Model'!D53/'Consolidated Model'!D10</f>
        <v>0.24701723376049492</v>
      </c>
      <c r="E8" s="30">
        <f>'Consolidated Model'!E53/'Consolidated Model'!E10</f>
        <v>0.23793103448275862</v>
      </c>
      <c r="F8" s="30">
        <f>'Consolidated Model'!F53/'Consolidated Model'!F10</f>
        <v>0.23535457348406988</v>
      </c>
      <c r="G8" s="30">
        <f>F8*G7</f>
        <v>0.23300102774922918</v>
      </c>
      <c r="H8" s="30">
        <f>G8*H7</f>
        <v>0.23067101747173688</v>
      </c>
      <c r="I8" s="30">
        <f>H8*I7</f>
        <v>0.22836430729701951</v>
      </c>
      <c r="J8" s="30">
        <f>I8*J7</f>
        <v>0.22608066422404932</v>
      </c>
      <c r="K8" s="30">
        <f>J8*K7</f>
        <v>0.22381985758180883</v>
      </c>
    </row>
    <row r="9" spans="2:11" x14ac:dyDescent="0.25">
      <c r="B9" s="57"/>
      <c r="G9" s="24"/>
      <c r="H9" s="24"/>
      <c r="I9" s="24"/>
      <c r="J9" s="24"/>
      <c r="K9" s="24"/>
    </row>
    <row r="10" spans="2:11" x14ac:dyDescent="0.25">
      <c r="B10" s="57" t="s">
        <v>109</v>
      </c>
      <c r="C10" s="24"/>
      <c r="D10" s="30">
        <f>'Consolidated Model'!D54/'Income Statement Drivers'!D10</f>
        <v>0.10487444608567208</v>
      </c>
      <c r="E10" s="30">
        <f>'Consolidated Model'!E54/'Income Statement Drivers'!E10</f>
        <v>9.6559905100830373E-2</v>
      </c>
      <c r="F10" s="30">
        <f>'Consolidated Model'!F54/'Income Statement Drivers'!F10</f>
        <v>0.10420551066915268</v>
      </c>
      <c r="G10" s="23">
        <v>0.10187995395188504</v>
      </c>
      <c r="H10" s="23">
        <v>0.10187995395188504</v>
      </c>
      <c r="I10" s="23">
        <v>0.10187995395188504</v>
      </c>
      <c r="J10" s="23">
        <v>0.10187995395188504</v>
      </c>
      <c r="K10" s="23">
        <v>0.10187995395188504</v>
      </c>
    </row>
    <row r="12" spans="2:11" x14ac:dyDescent="0.25">
      <c r="B12" s="57" t="s">
        <v>272</v>
      </c>
      <c r="G12" s="140"/>
      <c r="H12" s="140"/>
      <c r="I12" s="140"/>
      <c r="J12" s="140"/>
      <c r="K12" s="140"/>
    </row>
    <row r="13" spans="2:11" x14ac:dyDescent="0.25">
      <c r="B13" s="3" t="s">
        <v>340</v>
      </c>
      <c r="C13" s="24"/>
      <c r="D13" s="28"/>
      <c r="E13" s="28">
        <f t="shared" ref="E13:F13" si="7">D17</f>
        <v>106</v>
      </c>
      <c r="F13" s="28">
        <f t="shared" si="7"/>
        <v>132</v>
      </c>
      <c r="G13" s="28">
        <f>F17</f>
        <v>233</v>
      </c>
      <c r="H13" s="28">
        <f t="shared" ref="H13:K13" ca="1" si="8">G17</f>
        <v>275.95899914022334</v>
      </c>
      <c r="I13" s="28">
        <f t="shared" ca="1" si="8"/>
        <v>321.5098840311166</v>
      </c>
      <c r="J13" s="28">
        <f t="shared" ca="1" si="8"/>
        <v>368.79822104230982</v>
      </c>
      <c r="K13" s="28">
        <f t="shared" ca="1" si="8"/>
        <v>418.68702503925238</v>
      </c>
    </row>
    <row r="14" spans="2:11" x14ac:dyDescent="0.25">
      <c r="B14" s="3" t="s">
        <v>364</v>
      </c>
      <c r="C14" s="140">
        <f>-SUM('Cash Flow Drivers'!C76)/'Consolidated Model'!C24</f>
        <v>-9.887005649717515E-3</v>
      </c>
      <c r="D14" s="140">
        <f>-SUM('Cash Flow Drivers'!D76)/'Consolidated Model'!D24</f>
        <v>-1.0464058234758872E-2</v>
      </c>
      <c r="E14" s="140">
        <f>-SUM('Cash Flow Drivers'!E76)/'Consolidated Model'!E24</f>
        <v>-9.6805421103581795E-3</v>
      </c>
      <c r="F14" s="140">
        <f>-SUM('Cash Flow Drivers'!F76)/'Consolidated Model'!F24</f>
        <v>-9.9573257467994308E-3</v>
      </c>
      <c r="G14" s="141">
        <f>AVERAGE(C14:F14)</f>
        <v>-9.9972329354084989E-3</v>
      </c>
      <c r="H14" s="140">
        <f>G14</f>
        <v>-9.9972329354084989E-3</v>
      </c>
      <c r="I14" s="140">
        <f t="shared" ref="I14:K14" si="9">H14</f>
        <v>-9.9972329354084989E-3</v>
      </c>
      <c r="J14" s="140">
        <f t="shared" si="9"/>
        <v>-9.9972329354084989E-3</v>
      </c>
      <c r="K14" s="140">
        <f t="shared" si="9"/>
        <v>-9.9972329354084989E-3</v>
      </c>
    </row>
    <row r="15" spans="2:11" x14ac:dyDescent="0.25">
      <c r="B15" s="3" t="s">
        <v>52</v>
      </c>
      <c r="C15" s="24"/>
      <c r="D15" s="28"/>
      <c r="E15" s="28">
        <f>E14*'Consolidated Model'!E24</f>
        <v>20</v>
      </c>
      <c r="F15" s="28">
        <f>F14*'Consolidated Model'!F24</f>
        <v>21</v>
      </c>
      <c r="G15" s="28">
        <f ca="1">G14*'Consolidated Model'!G24</f>
        <v>21.958999140223362</v>
      </c>
      <c r="H15" s="28">
        <f ca="1">H14*'Consolidated Model'!H24</f>
        <v>22.775442445446608</v>
      </c>
      <c r="I15" s="28">
        <f ca="1">I14*'Consolidated Model'!I24</f>
        <v>23.644168505596614</v>
      </c>
      <c r="J15" s="28">
        <f ca="1">J14*'Consolidated Model'!J24</f>
        <v>24.944401998471267</v>
      </c>
      <c r="K15" s="28">
        <f ca="1">K14*'Consolidated Model'!K24</f>
        <v>26.333406531139637</v>
      </c>
    </row>
    <row r="16" spans="2:11" x14ac:dyDescent="0.25">
      <c r="B16" s="3" t="s">
        <v>294</v>
      </c>
      <c r="C16" s="24"/>
      <c r="D16" s="28"/>
      <c r="E16" s="28">
        <f>'Cash Flow Drivers'!E7</f>
        <v>9</v>
      </c>
      <c r="F16" s="28">
        <f>'Cash Flow Drivers'!F7</f>
        <v>15</v>
      </c>
      <c r="G16" s="28">
        <f>'Cash Flow Drivers'!G7</f>
        <v>21</v>
      </c>
      <c r="H16" s="28">
        <f ca="1">'Cash Flow Drivers'!H7</f>
        <v>22.775442445446608</v>
      </c>
      <c r="I16" s="28">
        <f ca="1">'Cash Flow Drivers'!I7</f>
        <v>23.644168505596614</v>
      </c>
      <c r="J16" s="28">
        <f ca="1">'Cash Flow Drivers'!J7</f>
        <v>24.944401998471264</v>
      </c>
      <c r="K16" s="28">
        <f ca="1">'Cash Flow Drivers'!K7</f>
        <v>26.333406531139637</v>
      </c>
    </row>
    <row r="17" spans="2:11" x14ac:dyDescent="0.25">
      <c r="B17" s="8" t="s">
        <v>272</v>
      </c>
      <c r="C17" s="24"/>
      <c r="D17" s="43">
        <f>BALANCE_SHEET!D9</f>
        <v>106</v>
      </c>
      <c r="E17" s="43">
        <f>BALANCE_SHEET!E9</f>
        <v>132</v>
      </c>
      <c r="F17" s="43">
        <f>BALANCE_SHEET!F9</f>
        <v>233</v>
      </c>
      <c r="G17" s="28">
        <f ca="1">SUM(G13,G15:G16)</f>
        <v>275.95899914022334</v>
      </c>
      <c r="H17" s="28">
        <f t="shared" ref="H17:K17" ca="1" si="10">SUM(H13,H15:H16)</f>
        <v>321.5098840311166</v>
      </c>
      <c r="I17" s="28">
        <f t="shared" ca="1" si="10"/>
        <v>368.79822104230982</v>
      </c>
      <c r="J17" s="28">
        <f t="shared" ca="1" si="10"/>
        <v>418.68702503925238</v>
      </c>
      <c r="K17" s="28">
        <f t="shared" ca="1" si="10"/>
        <v>471.35383810153166</v>
      </c>
    </row>
    <row r="18" spans="2:11" x14ac:dyDescent="0.25">
      <c r="B18" s="57"/>
    </row>
    <row r="19" spans="2:11" x14ac:dyDescent="0.25">
      <c r="B19" s="57" t="s">
        <v>123</v>
      </c>
      <c r="C19" s="23"/>
      <c r="D19" s="28"/>
      <c r="E19" s="28">
        <f>E21-D21</f>
        <v>-9</v>
      </c>
      <c r="F19" s="28">
        <f t="shared" ref="F19" si="11">F21-E21</f>
        <v>-9</v>
      </c>
      <c r="G19" s="77">
        <f>F19</f>
        <v>-9</v>
      </c>
      <c r="H19" s="28">
        <f>G19</f>
        <v>-9</v>
      </c>
      <c r="I19" s="28">
        <f>H19</f>
        <v>-9</v>
      </c>
      <c r="J19" s="28">
        <f>I19</f>
        <v>-9</v>
      </c>
      <c r="K19" s="28">
        <f>J19</f>
        <v>-9</v>
      </c>
    </row>
    <row r="20" spans="2:11" x14ac:dyDescent="0.25">
      <c r="B20" s="57" t="s">
        <v>359</v>
      </c>
      <c r="C20" s="23"/>
      <c r="D20" s="28"/>
      <c r="E20" s="28"/>
      <c r="F20" s="28"/>
      <c r="G20" s="77"/>
      <c r="H20" s="28"/>
      <c r="I20" s="24">
        <v>38</v>
      </c>
      <c r="J20" s="24">
        <v>38</v>
      </c>
      <c r="K20" s="24">
        <v>38</v>
      </c>
    </row>
    <row r="21" spans="2:11" x14ac:dyDescent="0.25">
      <c r="B21" s="57" t="s">
        <v>14</v>
      </c>
      <c r="C21" s="23"/>
      <c r="D21" s="43">
        <f>BALANCE_SHEET!D13</f>
        <v>83</v>
      </c>
      <c r="E21" s="43">
        <f>BALANCE_SHEET!E13</f>
        <v>74</v>
      </c>
      <c r="F21" s="49">
        <f>BALANCE_SHEET!F13</f>
        <v>65</v>
      </c>
      <c r="G21" s="28">
        <f>F21+G19</f>
        <v>56</v>
      </c>
      <c r="H21" s="28">
        <f t="shared" ref="H21" si="12">G21+H19</f>
        <v>47</v>
      </c>
      <c r="I21" s="28">
        <f>MAX(H21+I19,I20)</f>
        <v>38</v>
      </c>
      <c r="J21" s="28">
        <f t="shared" ref="J21:K21" si="13">MAX(I21+J19,J20)</f>
        <v>38</v>
      </c>
      <c r="K21" s="28">
        <f t="shared" si="13"/>
        <v>38</v>
      </c>
    </row>
    <row r="22" spans="2:11" x14ac:dyDescent="0.25">
      <c r="B22" s="57"/>
      <c r="C22" s="23"/>
      <c r="D22" s="43"/>
      <c r="E22" s="43"/>
      <c r="F22" s="49"/>
      <c r="G22" s="28"/>
      <c r="H22" s="28"/>
      <c r="I22" s="28"/>
      <c r="J22" s="28"/>
      <c r="K22" s="28"/>
    </row>
    <row r="23" spans="2:11" x14ac:dyDescent="0.25">
      <c r="B23" s="57" t="s">
        <v>124</v>
      </c>
      <c r="G23" s="5"/>
    </row>
    <row r="24" spans="2:11" x14ac:dyDescent="0.25">
      <c r="B24" s="3" t="s">
        <v>126</v>
      </c>
      <c r="C24" s="11">
        <f>-'Cash Flow Drivers'!C8</f>
        <v>-90.221000000000004</v>
      </c>
      <c r="D24" s="11">
        <f>-'Cash Flow Drivers'!D8</f>
        <v>-84</v>
      </c>
      <c r="E24" s="11">
        <f>-'Cash Flow Drivers'!E8</f>
        <v>-79</v>
      </c>
      <c r="F24" s="11">
        <f>-'Cash Flow Drivers'!F8</f>
        <v>-81</v>
      </c>
      <c r="G24" s="11">
        <f>-'Cash Flow Drivers'!G8</f>
        <v>-45</v>
      </c>
      <c r="H24" s="11">
        <f>-'Cash Flow Drivers'!H8</f>
        <v>-24</v>
      </c>
      <c r="I24" s="11">
        <f>-'Cash Flow Drivers'!I8</f>
        <v>-17</v>
      </c>
      <c r="J24" s="11">
        <f>-'Cash Flow Drivers'!J8</f>
        <v>-4</v>
      </c>
      <c r="K24" s="11">
        <f>-'Cash Flow Drivers'!K8</f>
        <v>-1</v>
      </c>
    </row>
    <row r="25" spans="2:11" x14ac:dyDescent="0.25">
      <c r="B25" s="3" t="s">
        <v>355</v>
      </c>
      <c r="C25" s="78">
        <f>-'Consolidated Model'!C101</f>
        <v>6</v>
      </c>
      <c r="D25" s="78">
        <f>-'Consolidated Model'!D101</f>
        <v>23</v>
      </c>
      <c r="E25" s="78">
        <f>-'Consolidated Model'!E101</f>
        <v>56</v>
      </c>
      <c r="F25" s="78">
        <f>-'Consolidated Model'!F101</f>
        <v>56</v>
      </c>
      <c r="G25" s="78">
        <f>-'Consolidated Model'!G101</f>
        <v>56</v>
      </c>
      <c r="H25" s="78">
        <f>-'Consolidated Model'!H101</f>
        <v>56</v>
      </c>
      <c r="I25" s="78">
        <f>-'Consolidated Model'!I101</f>
        <v>56</v>
      </c>
      <c r="J25" s="78">
        <f>-'Consolidated Model'!J101</f>
        <v>56</v>
      </c>
      <c r="K25" s="78">
        <f>-'Consolidated Model'!K101</f>
        <v>56</v>
      </c>
    </row>
    <row r="26" spans="2:11" x14ac:dyDescent="0.25">
      <c r="B26" s="3" t="s">
        <v>351</v>
      </c>
      <c r="D26" s="78"/>
      <c r="E26" s="78">
        <f>SUM(E24:E25)-E27</f>
        <v>21</v>
      </c>
      <c r="F26" s="78">
        <f>SUM(F24:F25)-F27</f>
        <v>22</v>
      </c>
      <c r="G26" s="78"/>
      <c r="H26" s="78"/>
      <c r="I26" s="78"/>
      <c r="J26" s="78"/>
      <c r="K26" s="78"/>
    </row>
    <row r="27" spans="2:11" x14ac:dyDescent="0.25">
      <c r="B27" s="3" t="s">
        <v>356</v>
      </c>
      <c r="E27" s="5">
        <f>'Consolidated Model'!E58-'Consolidated Model'!D58</f>
        <v>-44</v>
      </c>
      <c r="F27" s="5">
        <f>'Consolidated Model'!F58-'Consolidated Model'!E58</f>
        <v>-47</v>
      </c>
      <c r="G27" s="5">
        <f>SUM(G24:G25)</f>
        <v>11</v>
      </c>
      <c r="H27" s="5">
        <f>SUM(H24:H25)</f>
        <v>32</v>
      </c>
      <c r="I27" s="5">
        <f>SUM(I24:I25)</f>
        <v>39</v>
      </c>
      <c r="J27" s="5">
        <f>SUM(J24:J25)</f>
        <v>52</v>
      </c>
      <c r="K27" s="5">
        <f>SUM(K24:K25)</f>
        <v>55</v>
      </c>
    </row>
    <row r="30" spans="2:11" x14ac:dyDescent="0.25">
      <c r="B30" s="17" t="s">
        <v>341</v>
      </c>
      <c r="C30" s="33">
        <v>44957</v>
      </c>
      <c r="D30" s="33">
        <f>EOMONTH(C30,12)</f>
        <v>45322</v>
      </c>
      <c r="E30" s="33">
        <f t="shared" ref="E30" si="14">EOMONTH(D30,12)</f>
        <v>45688</v>
      </c>
      <c r="F30" s="33">
        <f t="shared" ref="F30" si="15">EOMONTH(E30,12)</f>
        <v>46053</v>
      </c>
      <c r="G30" s="34">
        <f t="shared" ref="G30" si="16">EOMONTH(F30,12)</f>
        <v>46418</v>
      </c>
      <c r="H30" s="34">
        <f t="shared" ref="H30" si="17">EOMONTH(G30,12)</f>
        <v>46783</v>
      </c>
      <c r="I30" s="34">
        <f t="shared" ref="I30" si="18">EOMONTH(H30,12)</f>
        <v>47149</v>
      </c>
      <c r="J30" s="34">
        <f t="shared" ref="J30" si="19">EOMONTH(I30,12)</f>
        <v>47514</v>
      </c>
      <c r="K30" s="34">
        <f t="shared" ref="K30" si="20">EOMONTH(J30,12)</f>
        <v>47879</v>
      </c>
    </row>
    <row r="31" spans="2:11" x14ac:dyDescent="0.25">
      <c r="B31" s="2"/>
      <c r="C31" s="56"/>
      <c r="D31" s="56"/>
      <c r="E31" s="56"/>
      <c r="F31" s="56"/>
      <c r="G31" s="56"/>
      <c r="H31" s="56"/>
      <c r="I31" s="56"/>
      <c r="J31" s="56"/>
      <c r="K31" s="56"/>
    </row>
    <row r="32" spans="2:11" x14ac:dyDescent="0.25">
      <c r="B32" s="57" t="s">
        <v>6</v>
      </c>
      <c r="D32" s="37">
        <f>'Consolidated Model'!D63/SUM('Consolidated Model'!D20:D22)</f>
        <v>5.6022408963585435E-3</v>
      </c>
      <c r="E32" s="37">
        <f>'Consolidated Model'!E63/SUM('Consolidated Model'!E20:E22)</f>
        <v>6.3260340632603409E-3</v>
      </c>
      <c r="F32" s="37">
        <f>'Consolidated Model'!F63/SUM('Consolidated Model'!F20:F22)</f>
        <v>5.7007125890736346E-3</v>
      </c>
      <c r="G32" s="79">
        <f>AVERAGE(D32:F32)</f>
        <v>5.8763291828975057E-3</v>
      </c>
      <c r="H32" s="37">
        <f>G32</f>
        <v>5.8763291828975057E-3</v>
      </c>
      <c r="I32" s="37">
        <f t="shared" ref="I32:K32" si="21">H32</f>
        <v>5.8763291828975057E-3</v>
      </c>
      <c r="J32" s="37">
        <f t="shared" si="21"/>
        <v>5.8763291828975057E-3</v>
      </c>
      <c r="K32" s="37">
        <f t="shared" si="21"/>
        <v>5.8763291828975057E-3</v>
      </c>
    </row>
    <row r="33" spans="2:11" x14ac:dyDescent="0.25">
      <c r="B33" s="57" t="s">
        <v>5</v>
      </c>
      <c r="D33" s="37">
        <f>'Consolidated Model'!D64/'Consolidated Model'!D24</f>
        <v>5.2320291173794359E-2</v>
      </c>
      <c r="E33" s="37">
        <f>'Consolidated Model'!E64/'Consolidated Model'!E24</f>
        <v>4.9854791868344628E-2</v>
      </c>
      <c r="F33" s="37">
        <f>'Consolidated Model'!F64/'Consolidated Model'!F24</f>
        <v>4.9312470365101946E-2</v>
      </c>
      <c r="G33" s="80">
        <v>4.9000000000000002E-2</v>
      </c>
      <c r="H33" s="80">
        <v>4.9000000000000002E-2</v>
      </c>
      <c r="I33" s="80">
        <v>4.9000000000000002E-2</v>
      </c>
      <c r="J33" s="80">
        <v>4.9000000000000002E-2</v>
      </c>
      <c r="K33" s="80">
        <v>4.9000000000000002E-2</v>
      </c>
    </row>
    <row r="34" spans="2:11" x14ac:dyDescent="0.25">
      <c r="B34" s="57"/>
    </row>
    <row r="35" spans="2:11" x14ac:dyDescent="0.25">
      <c r="B35" s="57" t="s">
        <v>288</v>
      </c>
      <c r="C35" s="22"/>
      <c r="D35" s="22">
        <f>'Consolidated Model'!D67/'Consolidated Model'!D24</f>
        <v>7.5978161965423119E-2</v>
      </c>
      <c r="E35" s="22">
        <f>'Consolidated Model'!E67/'Consolidated Model'!E24</f>
        <v>0.10019361084220717</v>
      </c>
      <c r="F35" s="22">
        <f>'Consolidated Model'!F67/'Consolidated Model'!F24</f>
        <v>0.10099573257467995</v>
      </c>
      <c r="G35" s="81">
        <f>F35</f>
        <v>0.10099573257467995</v>
      </c>
      <c r="H35" s="22">
        <f t="shared" ref="H35:K35" si="22">G35</f>
        <v>0.10099573257467995</v>
      </c>
      <c r="I35" s="22">
        <f t="shared" si="22"/>
        <v>0.10099573257467995</v>
      </c>
      <c r="J35" s="22">
        <f t="shared" si="22"/>
        <v>0.10099573257467995</v>
      </c>
      <c r="K35" s="22">
        <f t="shared" si="22"/>
        <v>0.10099573257467995</v>
      </c>
    </row>
    <row r="36" spans="2:11" x14ac:dyDescent="0.25">
      <c r="B36" s="57" t="s">
        <v>289</v>
      </c>
      <c r="D36" s="22">
        <f>'Consolidated Model'!D68/'Income Statement Drivers'!D14</f>
        <v>-0.77407786885245899</v>
      </c>
      <c r="E36" s="22">
        <f>'Consolidated Model'!E68/'Income Statement Drivers'!E14</f>
        <v>-0.76423487544483981</v>
      </c>
      <c r="F36" s="22">
        <f>'Consolidated Model'!F68/'Income Statement Drivers'!F14</f>
        <v>-0.75805809789096701</v>
      </c>
      <c r="G36" s="23">
        <v>-0.75</v>
      </c>
      <c r="H36" s="23">
        <v>-0.75</v>
      </c>
      <c r="I36" s="23">
        <v>-0.75</v>
      </c>
      <c r="J36" s="23">
        <v>-0.75</v>
      </c>
      <c r="K36" s="23">
        <v>-0.75</v>
      </c>
    </row>
    <row r="37" spans="2:11" x14ac:dyDescent="0.25">
      <c r="B37" s="57"/>
    </row>
    <row r="38" spans="2:11" x14ac:dyDescent="0.25">
      <c r="B38" s="57" t="s">
        <v>338</v>
      </c>
      <c r="I38" s="11">
        <f>-'Material Cash Requirements'!E15</f>
        <v>-31</v>
      </c>
      <c r="J38" s="11">
        <f>I38</f>
        <v>-31</v>
      </c>
      <c r="K38" s="11">
        <f t="shared" ref="K38" si="23">J38</f>
        <v>-31</v>
      </c>
    </row>
    <row r="39" spans="2:11" x14ac:dyDescent="0.25">
      <c r="B39" s="57" t="s">
        <v>9</v>
      </c>
      <c r="D39" s="43">
        <f>-BALANCE_SHEET!D30</f>
        <v>-112</v>
      </c>
      <c r="E39" s="43">
        <f>-BALANCE_SHEET!E30</f>
        <v>-94</v>
      </c>
      <c r="F39" s="43">
        <f>-BALANCE_SHEET!F30</f>
        <v>-72</v>
      </c>
      <c r="G39" s="11">
        <f>-'Material Cash Requirements'!C15</f>
        <v>-36</v>
      </c>
      <c r="H39" s="11">
        <f>-'Material Cash Requirements'!D15</f>
        <v>-39</v>
      </c>
      <c r="I39" s="13">
        <f>MIN(-'Material Cash Requirements'!E15,I38)</f>
        <v>-31</v>
      </c>
      <c r="J39" s="11">
        <f>MIN(-'Material Cash Requirements'!F15,J38)</f>
        <v>-31</v>
      </c>
      <c r="K39" s="11">
        <f>MIN(-'Material Cash Requirements'!G15,K38)</f>
        <v>-31</v>
      </c>
    </row>
    <row r="40" spans="2:11" x14ac:dyDescent="0.25">
      <c r="B40" s="57"/>
    </row>
    <row r="41" spans="2:11" x14ac:dyDescent="0.25">
      <c r="B41" s="57" t="s">
        <v>127</v>
      </c>
      <c r="D41" s="37">
        <f>'Consolidated Model'!D70/('Income Statement Drivers'!D10-'Income Statement Drivers'!D14)</f>
        <v>-2.09351011863224E-2</v>
      </c>
      <c r="E41" s="37">
        <f>'Consolidated Model'!E70/('Income Statement Drivers'!E10-'Income Statement Drivers'!E14)</f>
        <v>-1.9827147941026944E-2</v>
      </c>
      <c r="F41" s="37">
        <f>'Consolidated Model'!F70/('Income Statement Drivers'!F10-'Income Statement Drivers'!F14)</f>
        <v>-2.376836646499568E-2</v>
      </c>
      <c r="G41" s="79">
        <f>AVERAGE(D41:F41)</f>
        <v>-2.151020519744834E-2</v>
      </c>
      <c r="H41" s="37">
        <f>G41</f>
        <v>-2.151020519744834E-2</v>
      </c>
      <c r="I41" s="37">
        <f t="shared" ref="I41:K41" si="24">H41</f>
        <v>-2.151020519744834E-2</v>
      </c>
      <c r="J41" s="37">
        <f t="shared" si="24"/>
        <v>-2.151020519744834E-2</v>
      </c>
      <c r="K41" s="37">
        <f t="shared" si="24"/>
        <v>-2.151020519744834E-2</v>
      </c>
    </row>
    <row r="44" spans="2:11" x14ac:dyDescent="0.25">
      <c r="B44" s="17" t="s">
        <v>342</v>
      </c>
      <c r="C44" s="33">
        <v>44957</v>
      </c>
      <c r="D44" s="33">
        <f>EOMONTH(C44,12)</f>
        <v>45322</v>
      </c>
      <c r="E44" s="33">
        <f t="shared" ref="E44" si="25">EOMONTH(D44,12)</f>
        <v>45688</v>
      </c>
      <c r="F44" s="33">
        <f t="shared" ref="F44" si="26">EOMONTH(E44,12)</f>
        <v>46053</v>
      </c>
      <c r="G44" s="34">
        <f t="shared" ref="G44" si="27">EOMONTH(F44,12)</f>
        <v>46418</v>
      </c>
      <c r="H44" s="34">
        <f t="shared" ref="H44" si="28">EOMONTH(G44,12)</f>
        <v>46783</v>
      </c>
      <c r="I44" s="34">
        <f t="shared" ref="I44" si="29">EOMONTH(H44,12)</f>
        <v>47149</v>
      </c>
      <c r="J44" s="34">
        <f t="shared" ref="J44" si="30">EOMONTH(I44,12)</f>
        <v>47514</v>
      </c>
      <c r="K44" s="34">
        <f t="shared" ref="K44" si="31">EOMONTH(J44,12)</f>
        <v>47879</v>
      </c>
    </row>
    <row r="46" spans="2:11" x14ac:dyDescent="0.25">
      <c r="B46" t="s">
        <v>343</v>
      </c>
      <c r="D46" s="5">
        <f>'Condensed Stockholders Equity'!D6</f>
        <v>5466</v>
      </c>
      <c r="E46" s="5">
        <f>'Condensed Stockholders Equity'!E6</f>
        <v>5888</v>
      </c>
      <c r="F46" s="5">
        <f>'Condensed Stockholders Equity'!F6</f>
        <v>6405</v>
      </c>
      <c r="G46" s="5">
        <f>'Condensed Stockholders Equity'!G6</f>
        <v>6999</v>
      </c>
      <c r="H46" s="5">
        <f ca="1">'Condensed Stockholders Equity'!H6</f>
        <v>6964.8387073886352</v>
      </c>
      <c r="I46" s="5">
        <f ca="1">'Condensed Stockholders Equity'!I6</f>
        <v>6813.5482092994735</v>
      </c>
      <c r="J46" s="5">
        <f ca="1">'Condensed Stockholders Equity'!J6</f>
        <v>6754.4318211885893</v>
      </c>
      <c r="K46" s="5">
        <f ca="1">'Condensed Stockholders Equity'!K6</f>
        <v>6708.0411001311386</v>
      </c>
    </row>
    <row r="47" spans="2:11" x14ac:dyDescent="0.25">
      <c r="B47" t="s">
        <v>25</v>
      </c>
      <c r="D47" s="5">
        <f>'Condensed Stockholders Equity'!D8</f>
        <v>-355</v>
      </c>
      <c r="E47" s="5">
        <f>'Condensed Stockholders Equity'!E8</f>
        <v>28</v>
      </c>
      <c r="F47" s="5">
        <f>'Condensed Stockholders Equity'!F8</f>
        <v>235</v>
      </c>
      <c r="G47" s="5">
        <f ca="1">'Condensed Stockholders Equity'!G8</f>
        <v>442.2221160754824</v>
      </c>
      <c r="H47" s="5">
        <f ca="1">'Condensed Stockholders Equity'!H8</f>
        <v>603.47195759633871</v>
      </c>
      <c r="I47" s="5">
        <f ca="1">'Condensed Stockholders Equity'!I8</f>
        <v>801.75288916264572</v>
      </c>
      <c r="J47" s="5">
        <f ca="1">'Condensed Stockholders Equity'!J8</f>
        <v>1060.9905586497212</v>
      </c>
      <c r="K47" s="5">
        <f ca="1">'Condensed Stockholders Equity'!K8</f>
        <v>1362.5073353806538</v>
      </c>
    </row>
    <row r="48" spans="2:11" x14ac:dyDescent="0.25">
      <c r="B48" t="s">
        <v>348</v>
      </c>
      <c r="D48" s="5">
        <f>'Condensed Stockholders Equity'!D9</f>
        <v>690</v>
      </c>
      <c r="E48" s="5">
        <f>'Condensed Stockholders Equity'!E9</f>
        <v>570</v>
      </c>
      <c r="F48" s="5">
        <f>'Condensed Stockholders Equity'!F9</f>
        <v>549</v>
      </c>
      <c r="G48" s="5">
        <f ca="1">'Condensed Stockholders Equity'!G9</f>
        <v>572.23764425177978</v>
      </c>
      <c r="H48" s="5">
        <f ca="1">'Condensed Stockholders Equity'!H9</f>
        <v>599.44877737985144</v>
      </c>
      <c r="I48" s="5">
        <f ca="1">'Condensed Stockholders Equity'!I9</f>
        <v>628.53675032484318</v>
      </c>
      <c r="J48" s="5">
        <f ca="1">'Condensed Stockholders Equity'!J9</f>
        <v>669.73207794880079</v>
      </c>
      <c r="K48" s="5">
        <f ca="1">'Condensed Stockholders Equity'!K9</f>
        <v>714.0957056183604</v>
      </c>
    </row>
    <row r="49" spans="2:11" x14ac:dyDescent="0.25">
      <c r="B49" t="s">
        <v>344</v>
      </c>
      <c r="D49" s="5">
        <f>'Condensed Stockholders Equity'!D10</f>
        <v>67</v>
      </c>
      <c r="E49" s="5">
        <f>'Condensed Stockholders Equity'!E10</f>
        <v>74</v>
      </c>
      <c r="F49" s="5">
        <f>'Condensed Stockholders Equity'!F10</f>
        <v>53</v>
      </c>
      <c r="G49" s="5">
        <f>'Condensed Stockholders Equity'!G10</f>
        <v>48</v>
      </c>
      <c r="H49" s="5">
        <f>'Condensed Stockholders Equity'!H10</f>
        <v>61</v>
      </c>
      <c r="I49" s="5">
        <f>'Condensed Stockholders Equity'!I10</f>
        <v>69</v>
      </c>
      <c r="J49" s="5">
        <f>'Condensed Stockholders Equity'!J10</f>
        <v>53</v>
      </c>
      <c r="K49" s="5">
        <f ca="1">'Condensed Stockholders Equity'!K10</f>
        <v>45.4</v>
      </c>
    </row>
    <row r="50" spans="2:11" x14ac:dyDescent="0.25">
      <c r="B50" t="s">
        <v>345</v>
      </c>
      <c r="D50" s="5">
        <f>'Condensed Stockholders Equity'!D11</f>
        <v>-7</v>
      </c>
      <c r="E50" s="5">
        <f>'Condensed Stockholders Equity'!E11</f>
        <v>-149</v>
      </c>
      <c r="F50" s="5">
        <f>'Condensed Stockholders Equity'!F11</f>
        <v>-191</v>
      </c>
      <c r="G50" s="5">
        <f ca="1">'Condensed Stockholders Equity'!G11</f>
        <v>-175.93105293862632</v>
      </c>
      <c r="H50" s="5">
        <f ca="1">'Condensed Stockholders Equity'!H11</f>
        <v>-184.29695362859982</v>
      </c>
      <c r="I50" s="5">
        <f ca="1">'Condensed Stockholders Equity'!I11</f>
        <v>-193.23987753349942</v>
      </c>
      <c r="J50" s="5">
        <f ca="1">'Condensed Stockholders Equity'!J11</f>
        <v>-205.90513546931899</v>
      </c>
      <c r="K50" s="5">
        <f ca="1">'Condensed Stockholders Equity'!K11</f>
        <v>-219.54446836970519</v>
      </c>
    </row>
    <row r="51" spans="2:11" x14ac:dyDescent="0.25">
      <c r="B51" t="s">
        <v>346</v>
      </c>
      <c r="D51" s="5">
        <f>'Condensed Stockholders Equity'!D12</f>
        <v>0</v>
      </c>
      <c r="E51" s="5">
        <f>'Condensed Stockholders Equity'!E12</f>
        <v>0</v>
      </c>
      <c r="F51" s="5">
        <f>'Condensed Stockholders Equity'!F12</f>
        <v>-79</v>
      </c>
      <c r="G51" s="5">
        <f>'Condensed Stockholders Equity'!G12</f>
        <v>-920.69</v>
      </c>
      <c r="H51" s="5">
        <f ca="1">'Condensed Stockholders Equity'!H12</f>
        <v>-1230.9142794367526</v>
      </c>
      <c r="I51" s="5">
        <f ca="1">'Condensed Stockholders Equity'!I12</f>
        <v>-1365.166150064874</v>
      </c>
      <c r="J51" s="5">
        <f ca="1">'Condensed Stockholders Equity'!J12</f>
        <v>-1624.2082221866528</v>
      </c>
      <c r="K51" s="5">
        <f ca="1">'Condensed Stockholders Equity'!K12</f>
        <v>-1960.6138417112243</v>
      </c>
    </row>
    <row r="52" spans="2:11" x14ac:dyDescent="0.25">
      <c r="B52" t="s">
        <v>351</v>
      </c>
      <c r="D52" s="5">
        <f>'Condensed Stockholders Equity'!D13</f>
        <v>27</v>
      </c>
      <c r="E52" s="5">
        <f>'Condensed Stockholders Equity'!E13</f>
        <v>-6</v>
      </c>
      <c r="F52" s="5">
        <f>'Condensed Stockholders Equity'!F13</f>
        <v>27</v>
      </c>
      <c r="G52" s="5">
        <f>'Condensed Stockholders Equity'!G13</f>
        <v>0</v>
      </c>
      <c r="H52" s="5">
        <f>'Condensed Stockholders Equity'!H13</f>
        <v>0</v>
      </c>
      <c r="I52" s="5">
        <f>'Condensed Stockholders Equity'!I13</f>
        <v>0</v>
      </c>
      <c r="J52" s="5">
        <f>'Condensed Stockholders Equity'!J13</f>
        <v>0</v>
      </c>
      <c r="K52" s="5">
        <f>'Condensed Stockholders Equity'!K13</f>
        <v>0</v>
      </c>
    </row>
    <row r="53" spans="2:11" x14ac:dyDescent="0.25">
      <c r="B53" t="s">
        <v>349</v>
      </c>
      <c r="C53" s="5">
        <f>'Condensed Stockholders Equity'!C15</f>
        <v>5466</v>
      </c>
      <c r="D53" s="5">
        <f>'Condensed Stockholders Equity'!D15</f>
        <v>5888</v>
      </c>
      <c r="E53" s="5">
        <f>'Condensed Stockholders Equity'!E15</f>
        <v>6405</v>
      </c>
      <c r="F53" s="5">
        <f>'Condensed Stockholders Equity'!F15</f>
        <v>6999</v>
      </c>
      <c r="G53" s="5">
        <f ca="1">'Condensed Stockholders Equity'!G15</f>
        <v>6964.8387073886352</v>
      </c>
      <c r="H53" s="5">
        <f ca="1">'Condensed Stockholders Equity'!H15</f>
        <v>6813.5482092994735</v>
      </c>
      <c r="I53" s="5">
        <f ca="1">'Condensed Stockholders Equity'!I15</f>
        <v>6754.4318211885893</v>
      </c>
      <c r="J53" s="5">
        <f ca="1">'Condensed Stockholders Equity'!J15</f>
        <v>6708.0411001311386</v>
      </c>
      <c r="K53" s="5">
        <f ca="1">'Condensed Stockholders Equity'!K15</f>
        <v>6649.8858310492224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42557-8421-40C5-AC3F-6595694E569E}">
  <sheetPr codeName="Sheet7">
    <tabColor theme="8" tint="0.79998168889431442"/>
  </sheetPr>
  <dimension ref="B4:K101"/>
  <sheetViews>
    <sheetView showGridLines="0" topLeftCell="A73" zoomScale="80" zoomScaleNormal="80" workbookViewId="0">
      <selection activeCell="N106" sqref="N106"/>
    </sheetView>
  </sheetViews>
  <sheetFormatPr defaultRowHeight="15" x14ac:dyDescent="0.25"/>
  <cols>
    <col min="2" max="2" width="40.42578125" bestFit="1" customWidth="1"/>
    <col min="3" max="11" width="9.140625" customWidth="1"/>
  </cols>
  <sheetData>
    <row r="4" spans="2:11" x14ac:dyDescent="0.25">
      <c r="B4" s="17" t="s">
        <v>125</v>
      </c>
      <c r="C4" s="33">
        <v>44957</v>
      </c>
      <c r="D4" s="33">
        <f>EOMONTH(C4,12)</f>
        <v>45322</v>
      </c>
      <c r="E4" s="33">
        <f t="shared" ref="E4:K4" si="0">EOMONTH(D4,12)</f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 x14ac:dyDescent="0.25">
      <c r="B6" t="s">
        <v>293</v>
      </c>
      <c r="C6" s="43">
        <f>CASH_FLOW!C9</f>
        <v>114</v>
      </c>
      <c r="D6" s="43">
        <f>CASH_FLOW!D9</f>
        <v>84</v>
      </c>
      <c r="E6" s="43">
        <f>CASH_FLOW!E9</f>
        <v>88</v>
      </c>
      <c r="F6" s="43">
        <f>CASH_FLOW!F9</f>
        <v>96</v>
      </c>
      <c r="G6" s="11">
        <f>SUM(G7:G8)</f>
        <v>66</v>
      </c>
      <c r="H6" s="11">
        <f t="shared" ref="H6:K6" ca="1" si="1">SUM(H7:H8)</f>
        <v>46.775442445446608</v>
      </c>
      <c r="I6" s="11">
        <f t="shared" ca="1" si="1"/>
        <v>40.64416850559661</v>
      </c>
      <c r="J6" s="11">
        <f t="shared" ca="1" si="1"/>
        <v>28.944401998471264</v>
      </c>
      <c r="K6" s="11">
        <f t="shared" ca="1" si="1"/>
        <v>27.333406531139637</v>
      </c>
    </row>
    <row r="7" spans="2:11" x14ac:dyDescent="0.25">
      <c r="B7" s="3" t="s">
        <v>294</v>
      </c>
      <c r="C7" s="11">
        <f>C6-C8</f>
        <v>23.778999999999996</v>
      </c>
      <c r="D7" s="11">
        <f t="shared" ref="D7:F7" si="2">D6-D8</f>
        <v>0</v>
      </c>
      <c r="E7" s="11">
        <f t="shared" si="2"/>
        <v>9</v>
      </c>
      <c r="F7" s="11">
        <f t="shared" si="2"/>
        <v>15</v>
      </c>
      <c r="G7" s="24">
        <v>21</v>
      </c>
      <c r="H7" s="24">
        <f ca="1">-SUM('Consolidated Model'!H98:H99)</f>
        <v>22.775442445446608</v>
      </c>
      <c r="I7" s="24">
        <f ca="1">-SUM('Consolidated Model'!I98:I99)</f>
        <v>23.644168505596614</v>
      </c>
      <c r="J7" s="24">
        <f ca="1">-SUM('Consolidated Model'!J98:J99)</f>
        <v>24.944401998471264</v>
      </c>
      <c r="K7" s="24">
        <f ca="1">-SUM('Consolidated Model'!K98:K99)</f>
        <v>26.333406531139637</v>
      </c>
    </row>
    <row r="8" spans="2:11" x14ac:dyDescent="0.25">
      <c r="B8" s="3" t="s">
        <v>295</v>
      </c>
      <c r="C8" s="11">
        <f>AMORT_SCHED!C8</f>
        <v>90.221000000000004</v>
      </c>
      <c r="D8" s="11">
        <f>AMORT_SCHED!D8</f>
        <v>84</v>
      </c>
      <c r="E8" s="11">
        <f>AMORT_SCHED!E8</f>
        <v>79</v>
      </c>
      <c r="F8" s="11">
        <f>AMORT_SCHED!F8</f>
        <v>81</v>
      </c>
      <c r="G8" s="11">
        <f>AMORT_SCHED!G8</f>
        <v>45</v>
      </c>
      <c r="H8" s="11">
        <f>AMORT_SCHED!H8</f>
        <v>24</v>
      </c>
      <c r="I8" s="11">
        <f>AMORT_SCHED!I8</f>
        <v>17</v>
      </c>
      <c r="J8" s="11">
        <f>AMORT_SCHED!J8</f>
        <v>4</v>
      </c>
      <c r="K8" s="11">
        <f>AMORT_SCHED!K8</f>
        <v>1</v>
      </c>
    </row>
    <row r="10" spans="2:11" x14ac:dyDescent="0.25">
      <c r="B10" t="s">
        <v>275</v>
      </c>
      <c r="D10" s="20">
        <f>(D12/C12)-1</f>
        <v>-2.3675343369761515E-2</v>
      </c>
      <c r="E10" s="20">
        <f t="shared" ref="E10:F10" si="3">(E12/D12)-1</f>
        <v>-0.12120067027847115</v>
      </c>
      <c r="F10" s="20">
        <f t="shared" si="3"/>
        <v>-5.679913728353414E-2</v>
      </c>
      <c r="G10" s="29">
        <v>0.01</v>
      </c>
      <c r="H10" s="29">
        <v>0.01</v>
      </c>
      <c r="I10" s="29">
        <v>0.01</v>
      </c>
      <c r="J10" s="29">
        <v>0.01</v>
      </c>
      <c r="K10" s="29">
        <v>0.01</v>
      </c>
    </row>
    <row r="11" spans="2:11" x14ac:dyDescent="0.25">
      <c r="B11" t="s">
        <v>389</v>
      </c>
      <c r="D11" s="20"/>
      <c r="E11" s="20"/>
      <c r="F11" s="20"/>
      <c r="G11" s="160">
        <f ca="1">'Scenario Drivers'!C77</f>
        <v>1</v>
      </c>
      <c r="H11" s="160">
        <f ca="1">'Scenario Drivers'!D77</f>
        <v>1</v>
      </c>
      <c r="I11" s="160">
        <f ca="1">'Scenario Drivers'!E77</f>
        <v>1</v>
      </c>
      <c r="J11" s="160">
        <f ca="1">'Scenario Drivers'!F77</f>
        <v>1</v>
      </c>
      <c r="K11" s="160">
        <f ca="1">'Scenario Drivers'!G77</f>
        <v>1</v>
      </c>
    </row>
    <row r="12" spans="2:11" x14ac:dyDescent="0.25">
      <c r="B12" t="s">
        <v>276</v>
      </c>
      <c r="C12" s="22">
        <f>-'Consolidated Model'!C89/'Consolidated Model'!C24</f>
        <v>0.3187382297551789</v>
      </c>
      <c r="D12" s="22">
        <f>-'Consolidated Model'!D89/'Consolidated Model'!D24</f>
        <v>0.31119199272065512</v>
      </c>
      <c r="E12" s="22">
        <f>-'Consolidated Model'!E89/'Consolidated Model'!E24</f>
        <v>0.27347531461761859</v>
      </c>
      <c r="F12" s="22">
        <f>-'Consolidated Model'!F89/'Consolidated Model'!F24</f>
        <v>0.25794215267899478</v>
      </c>
      <c r="G12" s="22">
        <f ca="1">F12*(1+G10*G11)</f>
        <v>0.26052157420578476</v>
      </c>
      <c r="H12" s="22">
        <f t="shared" ref="H12:K12" ca="1" si="4">G12*(1+H10*H11)</f>
        <v>0.26312678994784261</v>
      </c>
      <c r="I12" s="22">
        <f t="shared" ca="1" si="4"/>
        <v>0.26575805784732104</v>
      </c>
      <c r="J12" s="22">
        <f t="shared" ca="1" si="4"/>
        <v>0.26841563842579425</v>
      </c>
      <c r="K12" s="22">
        <f t="shared" ca="1" si="4"/>
        <v>0.2710997948100522</v>
      </c>
    </row>
    <row r="14" spans="2:11" x14ac:dyDescent="0.25">
      <c r="B14" t="s">
        <v>277</v>
      </c>
    </row>
    <row r="15" spans="2:11" x14ac:dyDescent="0.25">
      <c r="B15" s="3" t="s">
        <v>278</v>
      </c>
      <c r="D15" s="22">
        <f>'Consolidated Model'!D90/'Consolidated Model'!D54</f>
        <v>0.29295774647887324</v>
      </c>
      <c r="E15" s="22">
        <f>'Consolidated Model'!E90/'Consolidated Model'!E54</f>
        <v>0.31941031941031939</v>
      </c>
      <c r="F15" s="22">
        <f>'Consolidated Model'!F90/'Consolidated Model'!F54</f>
        <v>0.32007952286282304</v>
      </c>
      <c r="G15" s="81">
        <f>F15</f>
        <v>0.32007952286282304</v>
      </c>
      <c r="H15" s="22">
        <f t="shared" ref="H15:K15" si="5">G15</f>
        <v>0.32007952286282304</v>
      </c>
      <c r="I15" s="22">
        <f t="shared" si="5"/>
        <v>0.32007952286282304</v>
      </c>
      <c r="J15" s="22">
        <f t="shared" si="5"/>
        <v>0.32007952286282304</v>
      </c>
      <c r="K15" s="22">
        <f t="shared" si="5"/>
        <v>0.32007952286282304</v>
      </c>
    </row>
    <row r="16" spans="2:11" x14ac:dyDescent="0.25">
      <c r="B16" s="3"/>
      <c r="D16" s="22"/>
      <c r="E16" s="22"/>
      <c r="F16" s="22"/>
      <c r="G16" s="81"/>
      <c r="H16" s="22"/>
      <c r="I16" s="22"/>
      <c r="J16" s="22"/>
      <c r="K16" s="22"/>
    </row>
    <row r="17" spans="2:11" x14ac:dyDescent="0.25">
      <c r="B17" s="17" t="s">
        <v>285</v>
      </c>
      <c r="C17" s="33">
        <v>44957</v>
      </c>
      <c r="D17" s="33">
        <f>EOMONTH(C17,12)</f>
        <v>45322</v>
      </c>
      <c r="E17" s="33">
        <f t="shared" ref="E17" si="6">EOMONTH(D17,12)</f>
        <v>45688</v>
      </c>
      <c r="F17" s="33">
        <f t="shared" ref="F17" si="7">EOMONTH(E17,12)</f>
        <v>46053</v>
      </c>
      <c r="G17" s="34">
        <f t="shared" ref="G17" si="8">EOMONTH(F17,12)</f>
        <v>46418</v>
      </c>
      <c r="H17" s="34">
        <f t="shared" ref="H17" si="9">EOMONTH(G17,12)</f>
        <v>46783</v>
      </c>
      <c r="I17" s="34">
        <f t="shared" ref="I17" si="10">EOMONTH(H17,12)</f>
        <v>47149</v>
      </c>
      <c r="J17" s="34">
        <f t="shared" ref="J17" si="11">EOMONTH(I17,12)</f>
        <v>47514</v>
      </c>
      <c r="K17" s="34">
        <f t="shared" ref="K17" si="12">EOMONTH(J17,12)</f>
        <v>47879</v>
      </c>
    </row>
    <row r="18" spans="2:11" x14ac:dyDescent="0.25">
      <c r="B18" s="2"/>
      <c r="C18" s="56"/>
      <c r="D18" s="56"/>
      <c r="E18" s="56"/>
      <c r="F18" s="56"/>
      <c r="G18" s="56"/>
      <c r="H18" s="56"/>
      <c r="I18" s="56"/>
      <c r="J18" s="56"/>
      <c r="K18" s="56"/>
    </row>
    <row r="19" spans="2:11" x14ac:dyDescent="0.25">
      <c r="B19" s="2" t="s">
        <v>282</v>
      </c>
    </row>
    <row r="20" spans="2:11" x14ac:dyDescent="0.25">
      <c r="B20" s="3" t="s">
        <v>2</v>
      </c>
    </row>
    <row r="21" spans="2:11" x14ac:dyDescent="0.25">
      <c r="B21" s="15" t="s">
        <v>284</v>
      </c>
      <c r="C21" s="11">
        <f>CASH_FLOW!C19</f>
        <v>-87</v>
      </c>
      <c r="D21" s="11">
        <f>CASH_FLOW!D19</f>
        <v>-79</v>
      </c>
      <c r="E21" s="11">
        <f>CASH_FLOW!E19</f>
        <v>-63</v>
      </c>
      <c r="F21" s="11">
        <f>CASH_FLOW!F19</f>
        <v>-70</v>
      </c>
      <c r="G21" s="11"/>
      <c r="H21" s="11"/>
      <c r="I21" s="11"/>
      <c r="J21" s="11"/>
      <c r="K21" s="11"/>
    </row>
    <row r="22" spans="2:11" x14ac:dyDescent="0.25">
      <c r="B22" s="16" t="s">
        <v>283</v>
      </c>
      <c r="C22" s="12"/>
      <c r="D22" s="12"/>
      <c r="E22" s="12">
        <f>'Consolidated Model'!D53-'Consolidated Model'!E53</f>
        <v>-62</v>
      </c>
      <c r="F22" s="12">
        <f>'Consolidated Model'!E53-'Consolidated Model'!F53</f>
        <v>-66</v>
      </c>
      <c r="G22" s="7"/>
      <c r="H22" s="7"/>
      <c r="I22" s="7"/>
      <c r="J22" s="7"/>
      <c r="K22" s="7"/>
    </row>
    <row r="23" spans="2:11" x14ac:dyDescent="0.25">
      <c r="B23" s="15" t="s">
        <v>290</v>
      </c>
      <c r="C23" s="11"/>
      <c r="D23" s="11"/>
      <c r="E23" s="11"/>
      <c r="F23" s="11"/>
      <c r="G23" s="11">
        <f ca="1">'Consolidated Model'!F53-'Consolidated Model'!G53</f>
        <v>-67.018295665467576</v>
      </c>
      <c r="H23" s="11">
        <f ca="1">'Consolidated Model'!G53-'Consolidated Model'!H53</f>
        <v>-68.19325482698855</v>
      </c>
      <c r="I23" s="11">
        <f ca="1">'Consolidated Model'!H53-'Consolidated Model'!I53</f>
        <v>-75.050591804327723</v>
      </c>
      <c r="J23" s="11">
        <f ca="1">'Consolidated Model'!I53-'Consolidated Model'!J53</f>
        <v>-101.45987677886922</v>
      </c>
      <c r="K23" s="11">
        <f ca="1">'Consolidated Model'!J53-'Consolidated Model'!K53</f>
        <v>-112.90563421467152</v>
      </c>
    </row>
    <row r="24" spans="2:11" x14ac:dyDescent="0.25">
      <c r="B24" s="15"/>
      <c r="C24" s="11"/>
      <c r="D24" s="11"/>
      <c r="E24" s="11"/>
      <c r="F24" s="11"/>
      <c r="G24" s="11"/>
      <c r="H24" s="11"/>
      <c r="I24" s="11"/>
      <c r="J24" s="11"/>
      <c r="K24" s="11"/>
    </row>
    <row r="25" spans="2:11" x14ac:dyDescent="0.25">
      <c r="B25" s="9" t="s">
        <v>279</v>
      </c>
      <c r="C25" s="11"/>
      <c r="D25" s="22"/>
      <c r="E25" s="22"/>
      <c r="F25" s="22"/>
      <c r="G25" s="11"/>
      <c r="H25" s="11"/>
      <c r="I25" s="11"/>
      <c r="J25" s="11"/>
      <c r="K25" s="11"/>
    </row>
    <row r="26" spans="2:11" x14ac:dyDescent="0.25">
      <c r="B26" s="15" t="s">
        <v>284</v>
      </c>
      <c r="C26" s="11">
        <f>CASH_FLOW!C20</f>
        <v>-122</v>
      </c>
      <c r="D26" s="11">
        <f>CASH_FLOW!D20</f>
        <v>-158</v>
      </c>
      <c r="E26" s="11">
        <f>CASH_FLOW!E20</f>
        <v>-186</v>
      </c>
      <c r="F26" s="11">
        <f>CASH_FLOW!F20</f>
        <v>-245</v>
      </c>
      <c r="G26" s="11"/>
      <c r="H26" s="11"/>
      <c r="I26" s="11"/>
      <c r="J26" s="11"/>
      <c r="K26" s="11"/>
    </row>
    <row r="27" spans="2:11" x14ac:dyDescent="0.25">
      <c r="B27" s="16" t="s">
        <v>283</v>
      </c>
      <c r="C27" s="12"/>
      <c r="D27" s="12"/>
      <c r="E27" s="12">
        <f>-('Consolidated Model'!E54-'Consolidated Model'!D54)-'Consolidated Model'!E90</f>
        <v>-182</v>
      </c>
      <c r="F27" s="12">
        <f>-('Consolidated Model'!F54-'Consolidated Model'!E54)-'Consolidated Model'!F90</f>
        <v>-257</v>
      </c>
      <c r="G27" s="12">
        <f ca="1">-('Consolidated Model'!G54-'Consolidated Model'!F54)-'Consolidated Model'!G90</f>
        <v>-224.08327677114335</v>
      </c>
      <c r="H27" s="12">
        <f ca="1">-('Consolidated Model'!H54-'Consolidated Model'!G54)-'Consolidated Model'!H90</f>
        <v>-263.54578773084165</v>
      </c>
      <c r="I27" s="12">
        <f ca="1">-('Consolidated Model'!I54-'Consolidated Model'!H54)-'Consolidated Model'!I90</f>
        <v>-295.17128225854259</v>
      </c>
      <c r="J27" s="12">
        <f ca="1">-('Consolidated Model'!J54-'Consolidated Model'!I54)-'Consolidated Model'!J90</f>
        <v>-330.59183612956787</v>
      </c>
      <c r="K27" s="12">
        <f ca="1">-('Consolidated Model'!K54-'Consolidated Model'!J54)-'Consolidated Model'!K90</f>
        <v>-370.26285646511599</v>
      </c>
    </row>
    <row r="28" spans="2:11" x14ac:dyDescent="0.25">
      <c r="B28" s="15" t="s">
        <v>290</v>
      </c>
      <c r="C28" s="11"/>
      <c r="D28" s="11"/>
      <c r="E28" s="11"/>
      <c r="F28" s="11"/>
      <c r="G28" s="11">
        <f ca="1">G27</f>
        <v>-224.08327677114335</v>
      </c>
      <c r="H28" s="11">
        <f t="shared" ref="H28:K28" ca="1" si="13">H27</f>
        <v>-263.54578773084165</v>
      </c>
      <c r="I28" s="11">
        <f t="shared" ca="1" si="13"/>
        <v>-295.17128225854259</v>
      </c>
      <c r="J28" s="11">
        <f t="shared" ca="1" si="13"/>
        <v>-330.59183612956787</v>
      </c>
      <c r="K28" s="11">
        <f t="shared" ca="1" si="13"/>
        <v>-370.26285646511599</v>
      </c>
    </row>
    <row r="29" spans="2:11" x14ac:dyDescent="0.25">
      <c r="B29" s="15"/>
      <c r="C29" s="11"/>
      <c r="D29" s="11"/>
      <c r="E29" s="11"/>
      <c r="F29" s="11"/>
      <c r="G29" s="11"/>
      <c r="H29" s="11"/>
      <c r="I29" s="11"/>
      <c r="J29" s="11"/>
      <c r="K29" s="11"/>
    </row>
    <row r="30" spans="2:11" x14ac:dyDescent="0.25">
      <c r="B30" s="9" t="s">
        <v>280</v>
      </c>
      <c r="C30" s="11"/>
      <c r="D30" s="11"/>
      <c r="E30" s="11"/>
      <c r="F30" s="11"/>
      <c r="G30" s="11"/>
      <c r="H30" s="11"/>
      <c r="I30" s="11"/>
      <c r="J30" s="11"/>
      <c r="K30" s="11"/>
    </row>
    <row r="31" spans="2:11" x14ac:dyDescent="0.25">
      <c r="B31" s="15" t="s">
        <v>284</v>
      </c>
      <c r="C31" s="11">
        <v>-13</v>
      </c>
      <c r="D31" s="11">
        <v>-32</v>
      </c>
      <c r="E31" s="11">
        <v>-37</v>
      </c>
      <c r="F31" s="11">
        <v>-33</v>
      </c>
      <c r="G31" s="11"/>
      <c r="H31" s="11"/>
      <c r="I31" s="11"/>
      <c r="J31" s="11"/>
      <c r="K31" s="11"/>
    </row>
    <row r="32" spans="2:11" x14ac:dyDescent="0.25">
      <c r="B32" s="16" t="s">
        <v>283</v>
      </c>
      <c r="C32" s="12"/>
      <c r="D32" s="12"/>
      <c r="E32" s="12">
        <f>'Consolidated Model'!D55-'Consolidated Model'!E55</f>
        <v>-26</v>
      </c>
      <c r="F32" s="12">
        <f>'Consolidated Model'!E55-'Consolidated Model'!F55</f>
        <v>-101</v>
      </c>
      <c r="G32" s="12">
        <f ca="1">'Consolidated Model'!F55-'Consolidated Model'!G55</f>
        <v>-42.958999140223341</v>
      </c>
      <c r="H32" s="12">
        <f ca="1">'Consolidated Model'!G55-'Consolidated Model'!H55</f>
        <v>-45.550884890893258</v>
      </c>
      <c r="I32" s="12">
        <f ca="1">'Consolidated Model'!H55-'Consolidated Model'!I55</f>
        <v>-47.288337011193221</v>
      </c>
      <c r="J32" s="12">
        <f ca="1">'Consolidated Model'!I55-'Consolidated Model'!J55</f>
        <v>-49.888803996942556</v>
      </c>
      <c r="K32" s="12">
        <f ca="1">'Consolidated Model'!J55-'Consolidated Model'!K55</f>
        <v>-52.666813062279289</v>
      </c>
    </row>
    <row r="33" spans="2:11" x14ac:dyDescent="0.25">
      <c r="B33" s="15" t="s">
        <v>290</v>
      </c>
      <c r="C33" s="11"/>
      <c r="D33" s="20"/>
      <c r="E33" s="20"/>
      <c r="F33" s="20"/>
      <c r="G33" s="11">
        <f ca="1">G32</f>
        <v>-42.958999140223341</v>
      </c>
      <c r="H33" s="11">
        <f t="shared" ref="H33:K33" ca="1" si="14">H32</f>
        <v>-45.550884890893258</v>
      </c>
      <c r="I33" s="11">
        <f t="shared" ca="1" si="14"/>
        <v>-47.288337011193221</v>
      </c>
      <c r="J33" s="11">
        <f t="shared" ca="1" si="14"/>
        <v>-49.888803996942556</v>
      </c>
      <c r="K33" s="11">
        <f t="shared" ca="1" si="14"/>
        <v>-52.666813062279289</v>
      </c>
    </row>
    <row r="34" spans="2:11" x14ac:dyDescent="0.25">
      <c r="B34" s="15"/>
      <c r="C34" s="11"/>
      <c r="D34" s="20"/>
      <c r="E34" s="20"/>
      <c r="F34" s="20"/>
      <c r="G34" s="13"/>
      <c r="H34" s="11"/>
      <c r="I34" s="11"/>
      <c r="J34" s="11"/>
      <c r="K34" s="11"/>
    </row>
    <row r="35" spans="2:11" x14ac:dyDescent="0.25">
      <c r="B35" s="9" t="s">
        <v>281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2:11" x14ac:dyDescent="0.25">
      <c r="B36" s="15" t="s">
        <v>284</v>
      </c>
      <c r="C36" s="11">
        <f>CASH_FLOW!C22</f>
        <v>27</v>
      </c>
      <c r="D36" s="11">
        <f>CASH_FLOW!D22</f>
        <v>23</v>
      </c>
      <c r="E36" s="11">
        <f>CASH_FLOW!E22</f>
        <v>20</v>
      </c>
      <c r="F36" s="11">
        <f>CASH_FLOW!F22</f>
        <v>18</v>
      </c>
      <c r="G36" s="11"/>
      <c r="H36" s="11"/>
      <c r="I36" s="11"/>
      <c r="J36" s="11"/>
      <c r="K36" s="11"/>
    </row>
    <row r="37" spans="2:11" x14ac:dyDescent="0.25">
      <c r="B37" s="15" t="s">
        <v>283</v>
      </c>
      <c r="C37" s="11"/>
      <c r="D37" s="11"/>
      <c r="E37" s="11">
        <f>'Consolidated Model'!D56-'Consolidated Model'!E56</f>
        <v>9</v>
      </c>
      <c r="F37" s="11">
        <f>'Consolidated Model'!E56-'Consolidated Model'!F56</f>
        <v>9</v>
      </c>
      <c r="G37" s="11">
        <f>'Consolidated Model'!F56-'Consolidated Model'!G56</f>
        <v>9</v>
      </c>
      <c r="H37" s="11">
        <f>'Consolidated Model'!G56-'Consolidated Model'!H56</f>
        <v>9</v>
      </c>
      <c r="I37" s="11">
        <f>'Consolidated Model'!H56-'Consolidated Model'!I56</f>
        <v>9</v>
      </c>
      <c r="J37" s="11">
        <f>'Consolidated Model'!I56-'Consolidated Model'!J56</f>
        <v>0</v>
      </c>
      <c r="K37" s="11">
        <f>'Consolidated Model'!J56-'Consolidated Model'!K56</f>
        <v>0</v>
      </c>
    </row>
    <row r="38" spans="2:11" x14ac:dyDescent="0.25">
      <c r="B38" s="151" t="s">
        <v>290</v>
      </c>
      <c r="C38" s="127"/>
      <c r="D38" s="127"/>
      <c r="E38" s="127"/>
      <c r="F38" s="127"/>
      <c r="G38" s="152">
        <f>G37</f>
        <v>9</v>
      </c>
      <c r="H38" s="152">
        <f t="shared" ref="H38:K38" si="15">H37</f>
        <v>9</v>
      </c>
      <c r="I38" s="152">
        <f t="shared" si="15"/>
        <v>9</v>
      </c>
      <c r="J38" s="152">
        <f t="shared" si="15"/>
        <v>0</v>
      </c>
      <c r="K38" s="152">
        <f t="shared" si="15"/>
        <v>0</v>
      </c>
    </row>
    <row r="39" spans="2:11" x14ac:dyDescent="0.25">
      <c r="B39" s="15"/>
      <c r="C39" s="11"/>
      <c r="D39" s="11"/>
      <c r="E39" s="11"/>
      <c r="F39" s="11"/>
      <c r="G39" s="11"/>
      <c r="H39" s="11"/>
      <c r="I39" s="11"/>
      <c r="J39" s="11"/>
      <c r="K39" s="11"/>
    </row>
    <row r="40" spans="2:11" x14ac:dyDescent="0.25">
      <c r="B40" s="9" t="s">
        <v>6</v>
      </c>
      <c r="C40" s="11"/>
      <c r="D40" s="11"/>
      <c r="E40" s="11"/>
      <c r="F40" s="11"/>
      <c r="G40" s="11"/>
      <c r="H40" s="11"/>
      <c r="I40" s="11"/>
      <c r="J40" s="11"/>
      <c r="K40" s="11"/>
    </row>
    <row r="41" spans="2:11" x14ac:dyDescent="0.25">
      <c r="B41" s="15" t="s">
        <v>284</v>
      </c>
      <c r="C41" s="11">
        <f>CASH_FLOW!C23</f>
        <v>-6</v>
      </c>
      <c r="D41" s="11">
        <f>CASH_FLOW!D23</f>
        <v>0</v>
      </c>
      <c r="E41" s="11">
        <f>CASH_FLOW!E23</f>
        <v>1</v>
      </c>
      <c r="F41" s="11">
        <f>CASH_FLOW!F23</f>
        <v>-2</v>
      </c>
      <c r="G41" s="11"/>
      <c r="H41" s="11"/>
      <c r="I41" s="11"/>
      <c r="J41" s="11"/>
      <c r="K41" s="11"/>
    </row>
    <row r="42" spans="2:11" x14ac:dyDescent="0.25">
      <c r="B42" s="16" t="s">
        <v>283</v>
      </c>
      <c r="C42" s="12"/>
      <c r="D42" s="12"/>
      <c r="E42" s="153">
        <f>'Consolidated Model'!D63-'Consolidated Model'!E63</f>
        <v>1</v>
      </c>
      <c r="F42" s="153">
        <f>'Consolidated Model'!E63-'Consolidated Model'!F63</f>
        <v>-1</v>
      </c>
      <c r="G42" s="153">
        <f ca="1">'Consolidated Model'!F63-'Consolidated Model'!G63</f>
        <v>0.88838582766039131</v>
      </c>
      <c r="H42" s="153">
        <f ca="1">'Consolidated Model'!G63-'Consolidated Model'!H63</f>
        <v>0.47797244957457607</v>
      </c>
      <c r="I42" s="153">
        <f ca="1">'Consolidated Model'!H63-'Consolidated Model'!I63</f>
        <v>0.50849053070386319</v>
      </c>
      <c r="J42" s="153">
        <f ca="1">'Consolidated Model'!I63-'Consolidated Model'!J63</f>
        <v>0.76140109942665646</v>
      </c>
      <c r="K42" s="153">
        <f ca="1">'Consolidated Model'!J63-'Consolidated Model'!K63</f>
        <v>0.81322418593160783</v>
      </c>
    </row>
    <row r="43" spans="2:11" x14ac:dyDescent="0.25">
      <c r="B43" s="15" t="s">
        <v>290</v>
      </c>
      <c r="C43" s="11"/>
      <c r="D43" s="11"/>
      <c r="E43" s="11"/>
      <c r="F43" s="11"/>
      <c r="G43" s="11">
        <f ca="1">'Consolidated Model'!F63-'Consolidated Model'!G63</f>
        <v>0.88838582766039131</v>
      </c>
      <c r="H43" s="11">
        <f ca="1">'Consolidated Model'!G63-'Consolidated Model'!H63</f>
        <v>0.47797244957457607</v>
      </c>
      <c r="I43" s="11">
        <f ca="1">'Consolidated Model'!H63-'Consolidated Model'!I63</f>
        <v>0.50849053070386319</v>
      </c>
      <c r="J43" s="11">
        <f ca="1">'Consolidated Model'!I63-'Consolidated Model'!J63</f>
        <v>0.76140109942665646</v>
      </c>
      <c r="K43" s="11">
        <f t="shared" ref="K43" ca="1" si="16">K42</f>
        <v>0.81322418593160783</v>
      </c>
    </row>
    <row r="44" spans="2:11" x14ac:dyDescent="0.25">
      <c r="B44" s="15"/>
      <c r="C44" s="11"/>
      <c r="D44" s="11"/>
      <c r="E44" s="11"/>
      <c r="F44" s="11"/>
      <c r="G44" s="11"/>
      <c r="H44" s="11"/>
      <c r="I44" s="11"/>
      <c r="J44" s="11"/>
      <c r="K44" s="11"/>
    </row>
    <row r="45" spans="2:11" x14ac:dyDescent="0.25">
      <c r="B45" s="9" t="s">
        <v>110</v>
      </c>
      <c r="C45" s="11"/>
      <c r="D45" s="11"/>
      <c r="E45" s="11"/>
      <c r="F45" s="11"/>
      <c r="G45" s="11"/>
      <c r="H45" s="11"/>
      <c r="I45" s="11"/>
      <c r="J45" s="11"/>
      <c r="K45" s="11"/>
    </row>
    <row r="46" spans="2:11" x14ac:dyDescent="0.25">
      <c r="B46" s="15" t="s">
        <v>284</v>
      </c>
      <c r="C46" s="11">
        <f>CASH_FLOW!C24</f>
        <v>-44</v>
      </c>
      <c r="D46" s="11">
        <v>68</v>
      </c>
      <c r="E46" s="11">
        <v>41</v>
      </c>
      <c r="F46" s="11">
        <v>1</v>
      </c>
      <c r="G46" s="11"/>
      <c r="H46" s="11"/>
      <c r="I46" s="11"/>
      <c r="J46" s="11"/>
      <c r="K46" s="11"/>
    </row>
    <row r="47" spans="2:11" x14ac:dyDescent="0.25">
      <c r="B47" s="16" t="s">
        <v>283</v>
      </c>
      <c r="C47" s="12"/>
      <c r="D47" s="12"/>
      <c r="E47" s="12">
        <f>'Consolidated Model'!D67-'Consolidated Model'!E67</f>
        <v>40</v>
      </c>
      <c r="F47" s="12">
        <f>'Consolidated Model'!E67-'Consolidated Model'!F67</f>
        <v>6</v>
      </c>
      <c r="G47" s="12">
        <f ca="1">'Consolidated Model'!F67-'Consolidated Model'!G67</f>
        <v>8.8379044584105202</v>
      </c>
      <c r="H47" s="12">
        <f ca="1">'Consolidated Model'!G67-'Consolidated Model'!H67</f>
        <v>8.2480112496594131</v>
      </c>
      <c r="I47" s="12">
        <f ca="1">'Consolidated Model'!H67-'Consolidated Model'!I67</f>
        <v>8.7761909138691294</v>
      </c>
      <c r="J47" s="12">
        <f ca="1">'Consolidated Model'!I67-'Consolidated Model'!J67</f>
        <v>13.135438073659799</v>
      </c>
      <c r="K47" s="12">
        <f ca="1">'Consolidated Model'!J67-'Consolidated Model'!K67</f>
        <v>14.032235842933375</v>
      </c>
    </row>
    <row r="48" spans="2:11" x14ac:dyDescent="0.25">
      <c r="B48" s="15" t="s">
        <v>290</v>
      </c>
      <c r="C48" s="11"/>
      <c r="D48" s="11"/>
      <c r="E48" s="11"/>
      <c r="F48" s="11"/>
      <c r="G48" s="28">
        <f ca="1">G47</f>
        <v>8.8379044584105202</v>
      </c>
      <c r="H48" s="28">
        <f t="shared" ref="H48:K48" ca="1" si="17">H47</f>
        <v>8.2480112496594131</v>
      </c>
      <c r="I48" s="28">
        <f t="shared" ca="1" si="17"/>
        <v>8.7761909138691294</v>
      </c>
      <c r="J48" s="28">
        <f t="shared" ca="1" si="17"/>
        <v>13.135438073659799</v>
      </c>
      <c r="K48" s="28">
        <f t="shared" ca="1" si="17"/>
        <v>14.032235842933375</v>
      </c>
    </row>
    <row r="49" spans="2:11" x14ac:dyDescent="0.25">
      <c r="B49" s="15"/>
      <c r="C49" s="11"/>
      <c r="D49" s="11"/>
      <c r="E49" s="11"/>
      <c r="F49" s="11"/>
      <c r="G49" s="11"/>
      <c r="H49" s="11"/>
      <c r="I49" s="11"/>
      <c r="J49" s="11"/>
      <c r="K49" s="11"/>
    </row>
    <row r="50" spans="2:11" x14ac:dyDescent="0.25">
      <c r="B50" s="9" t="s">
        <v>354</v>
      </c>
      <c r="C50" s="11"/>
      <c r="D50" s="11"/>
      <c r="E50" s="11"/>
      <c r="F50" s="11"/>
      <c r="G50" s="11"/>
      <c r="H50" s="11"/>
      <c r="I50" s="11"/>
      <c r="J50" s="11"/>
      <c r="K50" s="11"/>
    </row>
    <row r="51" spans="2:11" x14ac:dyDescent="0.25">
      <c r="B51" s="15" t="s">
        <v>284</v>
      </c>
      <c r="C51" s="11">
        <f>CASH_FLOW!C25</f>
        <v>8</v>
      </c>
      <c r="D51" s="11">
        <f>CASH_FLOW!D25</f>
        <v>21</v>
      </c>
      <c r="E51" s="11">
        <f>CASH_FLOW!E25</f>
        <v>-3</v>
      </c>
      <c r="F51" s="11">
        <f>CASH_FLOW!F25</f>
        <v>1</v>
      </c>
      <c r="G51" s="11"/>
      <c r="H51" s="11"/>
      <c r="I51" s="11"/>
      <c r="J51" s="11"/>
      <c r="K51" s="11"/>
    </row>
    <row r="52" spans="2:11" x14ac:dyDescent="0.25">
      <c r="B52" s="15" t="s">
        <v>283</v>
      </c>
      <c r="C52" s="11"/>
      <c r="D52" s="11"/>
      <c r="E52" s="11">
        <f>'Consolidated Model'!D64-'Consolidated Model'!E64 + 'Consolidated Model'!D70-'Consolidated Model'!E70</f>
        <v>-3</v>
      </c>
      <c r="F52" s="11">
        <f>'Consolidated Model'!E64-'Consolidated Model'!F64 + 'Consolidated Model'!E70-'Consolidated Model'!F70</f>
        <v>17</v>
      </c>
      <c r="G52" s="11">
        <f ca="1">'Consolidated Model'!F64-'Consolidated Model'!G64 + 'Consolidated Model'!F70-'Consolidated Model'!G70</f>
        <v>-20.546998559396428</v>
      </c>
      <c r="H52" s="11">
        <f ca="1">'Consolidated Model'!G64-'Consolidated Model'!H64 + 'Consolidated Model'!G70-'Consolidated Model'!H70</f>
        <v>15.488129061592581</v>
      </c>
      <c r="I52" s="11">
        <f ca="1">'Consolidated Model'!H64-'Consolidated Model'!I64 + 'Consolidated Model'!H70-'Consolidated Model'!I70</f>
        <v>11.721977096613877</v>
      </c>
      <c r="J52" s="11">
        <f ca="1">'Consolidated Model'!I64-'Consolidated Model'!J64 + 'Consolidated Model'!I70-'Consolidated Model'!J70</f>
        <v>13.580065268730188</v>
      </c>
      <c r="K52" s="11">
        <f ca="1">'Consolidated Model'!J64-'Consolidated Model'!K64 + 'Consolidated Model'!J70-'Consolidated Model'!K70</f>
        <v>14.948259251583004</v>
      </c>
    </row>
    <row r="53" spans="2:11" x14ac:dyDescent="0.25">
      <c r="B53" s="151" t="s">
        <v>290</v>
      </c>
      <c r="C53" s="127"/>
      <c r="D53" s="127"/>
      <c r="E53" s="127"/>
      <c r="F53" s="127"/>
      <c r="G53" s="152">
        <f ca="1">G52</f>
        <v>-20.546998559396428</v>
      </c>
      <c r="H53" s="152">
        <f t="shared" ref="H53:K53" ca="1" si="18">H52</f>
        <v>15.488129061592581</v>
      </c>
      <c r="I53" s="152">
        <f t="shared" ca="1" si="18"/>
        <v>11.721977096613877</v>
      </c>
      <c r="J53" s="152">
        <f t="shared" ca="1" si="18"/>
        <v>13.580065268730188</v>
      </c>
      <c r="K53" s="152">
        <f t="shared" ca="1" si="18"/>
        <v>14.948259251583004</v>
      </c>
    </row>
    <row r="54" spans="2:11" x14ac:dyDescent="0.25">
      <c r="B54" s="15"/>
      <c r="C54" s="11"/>
      <c r="D54" s="11"/>
      <c r="E54" s="11"/>
      <c r="F54" s="11"/>
      <c r="G54" s="11"/>
      <c r="H54" s="11"/>
      <c r="I54" s="11"/>
      <c r="J54" s="11"/>
      <c r="K54" s="11"/>
    </row>
    <row r="55" spans="2:11" x14ac:dyDescent="0.25">
      <c r="B55" s="9" t="s">
        <v>9</v>
      </c>
      <c r="C55" s="11"/>
      <c r="D55" s="11"/>
      <c r="E55" s="11"/>
      <c r="F55" s="11"/>
      <c r="G55" s="11"/>
      <c r="H55" s="11"/>
      <c r="I55" s="11"/>
      <c r="J55" s="11"/>
      <c r="K55" s="11"/>
    </row>
    <row r="56" spans="2:11" x14ac:dyDescent="0.25">
      <c r="B56" s="15" t="s">
        <v>284</v>
      </c>
      <c r="C56" s="11">
        <f>CASH_FLOW!C26</f>
        <v>-34</v>
      </c>
      <c r="D56" s="11">
        <f>CASH_FLOW!D26</f>
        <v>-39</v>
      </c>
      <c r="E56" s="11">
        <f>CASH_FLOW!E26</f>
        <v>-33</v>
      </c>
      <c r="F56" s="11">
        <f>CASH_FLOW!F26</f>
        <v>-30</v>
      </c>
    </row>
    <row r="57" spans="2:11" x14ac:dyDescent="0.25">
      <c r="B57" s="16" t="s">
        <v>283</v>
      </c>
      <c r="C57" s="12"/>
      <c r="D57" s="7"/>
      <c r="E57" s="12">
        <f>'Consolidated Model'!D69-'Consolidated Model'!E69</f>
        <v>-18</v>
      </c>
      <c r="F57" s="12">
        <f>'Consolidated Model'!E69-'Consolidated Model'!F69</f>
        <v>-22</v>
      </c>
      <c r="G57" s="12">
        <f>'Consolidated Model'!F69-'Consolidated Model'!G69</f>
        <v>-36</v>
      </c>
      <c r="H57" s="12">
        <f>'Consolidated Model'!G69-'Consolidated Model'!H69</f>
        <v>3</v>
      </c>
      <c r="I57" s="12">
        <f>'Consolidated Model'!H69-'Consolidated Model'!I69</f>
        <v>-8</v>
      </c>
      <c r="J57" s="12">
        <f>'Consolidated Model'!I69-'Consolidated Model'!J69</f>
        <v>0</v>
      </c>
      <c r="K57" s="12">
        <f>'Consolidated Model'!J69-'Consolidated Model'!K69</f>
        <v>0</v>
      </c>
    </row>
    <row r="58" spans="2:11" x14ac:dyDescent="0.25">
      <c r="B58" s="15" t="s">
        <v>290</v>
      </c>
      <c r="C58" s="11"/>
      <c r="D58" s="11"/>
      <c r="E58" s="43"/>
      <c r="F58" s="43"/>
      <c r="G58" s="28">
        <f>G57</f>
        <v>-36</v>
      </c>
      <c r="H58" s="28">
        <f t="shared" ref="H58:K58" si="19">H57</f>
        <v>3</v>
      </c>
      <c r="I58" s="28">
        <f t="shared" si="19"/>
        <v>-8</v>
      </c>
      <c r="J58" s="28">
        <f t="shared" si="19"/>
        <v>0</v>
      </c>
      <c r="K58" s="28">
        <f t="shared" si="19"/>
        <v>0</v>
      </c>
    </row>
    <row r="59" spans="2:11" x14ac:dyDescent="0.25">
      <c r="B59" s="15"/>
      <c r="C59" s="11"/>
      <c r="D59" s="11"/>
      <c r="E59" s="11"/>
      <c r="F59" s="11"/>
      <c r="G59" s="11"/>
      <c r="H59" s="11"/>
      <c r="I59" s="11"/>
      <c r="J59" s="11"/>
      <c r="K59" s="11"/>
    </row>
    <row r="60" spans="2:11" x14ac:dyDescent="0.25">
      <c r="B60" s="9" t="s">
        <v>50</v>
      </c>
      <c r="C60" s="11"/>
      <c r="D60" s="11"/>
      <c r="E60" s="11"/>
      <c r="F60" s="11"/>
      <c r="G60" s="11"/>
      <c r="H60" s="11"/>
      <c r="I60" s="11"/>
      <c r="J60" s="11"/>
      <c r="K60" s="11"/>
    </row>
    <row r="61" spans="2:11" x14ac:dyDescent="0.25">
      <c r="B61" s="15" t="s">
        <v>284</v>
      </c>
      <c r="C61" s="11">
        <f>CASH_FLOW!C27</f>
        <v>264</v>
      </c>
      <c r="D61" s="11">
        <f>CASH_FLOW!D27</f>
        <v>250</v>
      </c>
      <c r="E61" s="11">
        <f>CASH_FLOW!E27</f>
        <v>207</v>
      </c>
      <c r="F61" s="11">
        <f>CASH_FLOW!F27</f>
        <v>187</v>
      </c>
      <c r="G61" s="11"/>
      <c r="H61" s="11"/>
      <c r="I61" s="11"/>
      <c r="J61" s="11"/>
      <c r="K61" s="11"/>
    </row>
    <row r="62" spans="2:11" x14ac:dyDescent="0.25">
      <c r="B62" s="16" t="s">
        <v>283</v>
      </c>
      <c r="C62" s="12"/>
      <c r="D62" s="12"/>
      <c r="E62" s="12">
        <f>'Consolidated Model'!D68-'Consolidated Model'!E68</f>
        <v>207</v>
      </c>
      <c r="F62" s="12">
        <f>'Consolidated Model'!E68-'Consolidated Model'!F68</f>
        <v>187</v>
      </c>
      <c r="G62" s="12">
        <f ca="1">'Consolidated Model'!F68-'Consolidated Model'!G68</f>
        <v>162.88680000000022</v>
      </c>
      <c r="H62" s="12">
        <f ca="1">'Consolidated Model'!G68-'Consolidated Model'!H68</f>
        <v>202.73400000000038</v>
      </c>
      <c r="I62" s="12">
        <f ca="1">'Consolidated Model'!H68-'Consolidated Model'!I68</f>
        <v>272.47449600000027</v>
      </c>
      <c r="J62" s="12">
        <f ca="1">'Consolidated Model'!I68-'Consolidated Model'!J68</f>
        <v>305.17143552000061</v>
      </c>
      <c r="K62" s="12">
        <f ca="1">'Consolidated Model'!J68-'Consolidated Model'!K68</f>
        <v>341.79200778240011</v>
      </c>
    </row>
    <row r="63" spans="2:11" x14ac:dyDescent="0.25">
      <c r="B63" s="15" t="s">
        <v>290</v>
      </c>
      <c r="G63" s="11">
        <f ca="1">'Consolidated Model'!F68-'Consolidated Model'!G68</f>
        <v>162.88680000000022</v>
      </c>
      <c r="H63" s="11">
        <f ca="1">'Consolidated Model'!G68-'Consolidated Model'!H68</f>
        <v>202.73400000000038</v>
      </c>
      <c r="I63" s="11">
        <f ca="1">'Consolidated Model'!H68-'Consolidated Model'!I68</f>
        <v>272.47449600000027</v>
      </c>
      <c r="J63" s="11">
        <f ca="1">'Consolidated Model'!I68-'Consolidated Model'!J68</f>
        <v>305.17143552000061</v>
      </c>
      <c r="K63" s="11">
        <f ca="1">'Consolidated Model'!J68-'Consolidated Model'!K68</f>
        <v>341.79200778240011</v>
      </c>
    </row>
    <row r="65" spans="2:11" x14ac:dyDescent="0.25">
      <c r="B65" s="8" t="s">
        <v>291</v>
      </c>
      <c r="C65" s="13">
        <f>SUM(C21,C26,C31,C36,C41,C46,C51,C56,C61)</f>
        <v>-7</v>
      </c>
      <c r="D65" s="13">
        <f>SUM(D21,D26,D31,D36,D41,D46,D51,D56,D61)</f>
        <v>54</v>
      </c>
      <c r="E65" s="13">
        <f>SUM(E21,E26,E31,E36,E41,E46,E51,E56,E61)</f>
        <v>-53</v>
      </c>
      <c r="F65" s="13">
        <f>SUM(F21,F26,F31,F36,F41,F46,F51,F56,F61)</f>
        <v>-173</v>
      </c>
      <c r="G65" s="2"/>
      <c r="H65" s="2"/>
      <c r="I65" s="2"/>
      <c r="J65" s="2"/>
      <c r="K65" s="2"/>
    </row>
    <row r="66" spans="2:11" x14ac:dyDescent="0.25">
      <c r="B66" s="8" t="s">
        <v>292</v>
      </c>
      <c r="C66" s="2"/>
      <c r="D66" s="2"/>
      <c r="E66" s="2"/>
      <c r="F66" s="2"/>
      <c r="G66" s="13">
        <f ca="1">SUM(G23,G28,G33,G38,G43,G48,G53,G58,G63)</f>
        <v>-208.99447985015956</v>
      </c>
      <c r="H66" s="13">
        <f ca="1">SUM(H23,H28,H33,H38,H43,H48,H53,H58,H63)</f>
        <v>-138.34181468789649</v>
      </c>
      <c r="I66" s="13">
        <f ca="1">SUM(I23,I28,I33,I38,I43,I48,I53,I58,I63)</f>
        <v>-123.02905653287638</v>
      </c>
      <c r="J66" s="13">
        <f ca="1">SUM(J23,J28,J33,J38,J43,J48,J53,J58,J63)</f>
        <v>-149.29217694356237</v>
      </c>
      <c r="K66" s="13">
        <f ca="1">SUM(K23,K28,K33,K38,K43,K48,K53,K58,K63)</f>
        <v>-164.24957667921871</v>
      </c>
    </row>
    <row r="69" spans="2:11" x14ac:dyDescent="0.25">
      <c r="B69" s="17" t="s">
        <v>296</v>
      </c>
      <c r="C69" s="33">
        <v>44957</v>
      </c>
      <c r="D69" s="33">
        <f>EOMONTH(C69,12)</f>
        <v>45322</v>
      </c>
      <c r="E69" s="33">
        <f t="shared" ref="E69" si="20">EOMONTH(D69,12)</f>
        <v>45688</v>
      </c>
      <c r="F69" s="33">
        <f t="shared" ref="F69" si="21">EOMONTH(E69,12)</f>
        <v>46053</v>
      </c>
      <c r="G69" s="34">
        <f t="shared" ref="G69" si="22">EOMONTH(F69,12)</f>
        <v>46418</v>
      </c>
      <c r="H69" s="34">
        <f t="shared" ref="H69" si="23">EOMONTH(G69,12)</f>
        <v>46783</v>
      </c>
      <c r="I69" s="34">
        <f t="shared" ref="I69" si="24">EOMONTH(H69,12)</f>
        <v>47149</v>
      </c>
      <c r="J69" s="34">
        <f t="shared" ref="J69" si="25">EOMONTH(I69,12)</f>
        <v>47514</v>
      </c>
      <c r="K69" s="34">
        <f t="shared" ref="K69" si="26">EOMONTH(J69,12)</f>
        <v>47879</v>
      </c>
    </row>
    <row r="71" spans="2:11" x14ac:dyDescent="0.25">
      <c r="B71" t="s">
        <v>52</v>
      </c>
    </row>
    <row r="72" spans="2:11" x14ac:dyDescent="0.25">
      <c r="B72" s="3" t="s">
        <v>360</v>
      </c>
      <c r="C72" s="43">
        <f>CASH_FLOW!C31</f>
        <v>-9</v>
      </c>
      <c r="D72" s="43">
        <f>CASH_FLOW!D31</f>
        <v>-15</v>
      </c>
      <c r="E72" s="43">
        <f>CASH_FLOW!E31</f>
        <v>-12</v>
      </c>
      <c r="F72" s="43">
        <f>CASH_FLOW!F31</f>
        <v>-12</v>
      </c>
      <c r="G72" s="11">
        <f ca="1">G$76*G73</f>
        <v>-12.363871255038806</v>
      </c>
      <c r="H72" s="11">
        <f t="shared" ref="H72:K72" ca="1" si="27">H$76*H73</f>
        <v>-12.823564333414502</v>
      </c>
      <c r="I72" s="11">
        <f t="shared" ca="1" si="27"/>
        <v>-13.312694875977224</v>
      </c>
      <c r="J72" s="11">
        <f t="shared" ca="1" si="27"/>
        <v>-14.044782864356648</v>
      </c>
      <c r="K72" s="11">
        <f t="shared" ca="1" si="27"/>
        <v>-14.82685280775036</v>
      </c>
    </row>
    <row r="73" spans="2:11" x14ac:dyDescent="0.25">
      <c r="B73" s="15" t="s">
        <v>362</v>
      </c>
      <c r="C73" s="20">
        <f>C72/C$76</f>
        <v>0.42857142857142855</v>
      </c>
      <c r="D73" s="20">
        <f>D72/D$76</f>
        <v>0.65217391304347827</v>
      </c>
      <c r="E73" s="20">
        <f>E72/E$76</f>
        <v>0.6</v>
      </c>
      <c r="F73" s="20">
        <f>F72/F$76</f>
        <v>0.5714285714285714</v>
      </c>
      <c r="G73" s="113">
        <f>AVERAGE(C73:F73)</f>
        <v>0.56304347826086953</v>
      </c>
      <c r="H73" s="20">
        <f>G73</f>
        <v>0.56304347826086953</v>
      </c>
      <c r="I73" s="20">
        <f t="shared" ref="I73:K73" si="28">H73</f>
        <v>0.56304347826086953</v>
      </c>
      <c r="J73" s="20">
        <f t="shared" si="28"/>
        <v>0.56304347826086953</v>
      </c>
      <c r="K73" s="20">
        <f t="shared" si="28"/>
        <v>0.56304347826086953</v>
      </c>
    </row>
    <row r="74" spans="2:11" x14ac:dyDescent="0.25">
      <c r="B74" s="3" t="s">
        <v>361</v>
      </c>
      <c r="C74" s="43">
        <f>CASH_FLOW!C32</f>
        <v>-12</v>
      </c>
      <c r="D74" s="43">
        <f>CASH_FLOW!D32</f>
        <v>-8</v>
      </c>
      <c r="E74" s="43">
        <f>CASH_FLOW!E32</f>
        <v>-8</v>
      </c>
      <c r="F74" s="43">
        <f>CASH_FLOW!F32</f>
        <v>-9</v>
      </c>
      <c r="G74" s="11">
        <f ca="1">G$76*G75</f>
        <v>-9.5951278851845547</v>
      </c>
      <c r="H74" s="11">
        <f t="shared" ref="H74:K74" ca="1" si="29">H$76*H75</f>
        <v>-9.9518781120321034</v>
      </c>
      <c r="I74" s="11">
        <f t="shared" ca="1" si="29"/>
        <v>-10.33147362961939</v>
      </c>
      <c r="J74" s="11">
        <f t="shared" ca="1" si="29"/>
        <v>-10.899619134114618</v>
      </c>
      <c r="K74" s="11">
        <f t="shared" ca="1" si="29"/>
        <v>-11.506553723389276</v>
      </c>
    </row>
    <row r="75" spans="2:11" x14ac:dyDescent="0.25">
      <c r="B75" s="15" t="s">
        <v>362</v>
      </c>
      <c r="C75" s="20">
        <f>C74/C$76</f>
        <v>0.5714285714285714</v>
      </c>
      <c r="D75" s="20">
        <f t="shared" ref="D75:F75" si="30">D74/D$76</f>
        <v>0.34782608695652173</v>
      </c>
      <c r="E75" s="20">
        <f t="shared" si="30"/>
        <v>0.4</v>
      </c>
      <c r="F75" s="20">
        <f t="shared" si="30"/>
        <v>0.42857142857142855</v>
      </c>
      <c r="G75" s="113">
        <f>AVERAGE(C75:F75)</f>
        <v>0.43695652173913041</v>
      </c>
      <c r="H75" s="20">
        <f>G75</f>
        <v>0.43695652173913041</v>
      </c>
      <c r="I75" s="20">
        <f t="shared" ref="I75:K75" si="31">H75</f>
        <v>0.43695652173913041</v>
      </c>
      <c r="J75" s="20">
        <f t="shared" si="31"/>
        <v>0.43695652173913041</v>
      </c>
      <c r="K75" s="20">
        <f t="shared" si="31"/>
        <v>0.43695652173913041</v>
      </c>
    </row>
    <row r="76" spans="2:11" x14ac:dyDescent="0.25">
      <c r="B76" s="57" t="s">
        <v>363</v>
      </c>
      <c r="C76" s="11">
        <f>C72+C74</f>
        <v>-21</v>
      </c>
      <c r="D76" s="11">
        <f>D72+D74</f>
        <v>-23</v>
      </c>
      <c r="E76" s="11">
        <f>E72+E74</f>
        <v>-20</v>
      </c>
      <c r="F76" s="11">
        <f>F72+F74</f>
        <v>-21</v>
      </c>
      <c r="G76" s="11">
        <f ca="1">-'Consolidated Model'!G24*'Balance Sheet Drivers'!G14</f>
        <v>-21.958999140223362</v>
      </c>
      <c r="H76" s="11">
        <f ca="1">-'Consolidated Model'!H24*'Balance Sheet Drivers'!H14</f>
        <v>-22.775442445446608</v>
      </c>
      <c r="I76" s="11">
        <f ca="1">-'Consolidated Model'!I24*'Balance Sheet Drivers'!I14</f>
        <v>-23.644168505596614</v>
      </c>
      <c r="J76" s="11">
        <f ca="1">-'Consolidated Model'!J24*'Balance Sheet Drivers'!J14</f>
        <v>-24.944401998471267</v>
      </c>
      <c r="K76" s="11">
        <f ca="1">-'Consolidated Model'!K24*'Balance Sheet Drivers'!K14</f>
        <v>-26.333406531139637</v>
      </c>
    </row>
    <row r="78" spans="2:11" x14ac:dyDescent="0.25">
      <c r="B78" t="s">
        <v>301</v>
      </c>
      <c r="C78" s="11">
        <f>SUM(CASH_FLOW!C31:C37)</f>
        <v>-124</v>
      </c>
      <c r="D78" s="11">
        <f>SUM(CASH_FLOW!D31:D37)</f>
        <v>464</v>
      </c>
      <c r="E78" s="11">
        <f>SUM(CASH_FLOW!E31:E37)</f>
        <v>-258</v>
      </c>
      <c r="F78" s="11">
        <f>SUM(CASH_FLOW!F31:F37)</f>
        <v>327</v>
      </c>
      <c r="G78" s="24">
        <v>0</v>
      </c>
      <c r="H78" s="24">
        <v>0</v>
      </c>
      <c r="I78" s="24">
        <v>0</v>
      </c>
      <c r="J78" s="24">
        <v>0</v>
      </c>
      <c r="K78" s="24">
        <v>0</v>
      </c>
    </row>
    <row r="79" spans="2:11" x14ac:dyDescent="0.25">
      <c r="C79" s="11"/>
      <c r="D79" s="11"/>
      <c r="E79" s="11"/>
      <c r="F79" s="11"/>
      <c r="G79" s="11"/>
      <c r="H79" s="11"/>
      <c r="I79" s="11"/>
      <c r="J79" s="11"/>
      <c r="K79" s="11"/>
    </row>
    <row r="80" spans="2:11" x14ac:dyDescent="0.25">
      <c r="B80" t="s">
        <v>297</v>
      </c>
      <c r="C80" s="11">
        <f>SUM(CASH_FLOW!C39:C40)</f>
        <v>-6</v>
      </c>
      <c r="D80" s="11">
        <f>SUM(CASH_FLOW!D39:D40)</f>
        <v>-23</v>
      </c>
      <c r="E80" s="11">
        <f>SUM(CASH_FLOW!E39:E40)</f>
        <v>-56</v>
      </c>
      <c r="F80" s="11">
        <f>SUM(CASH_FLOW!F39:F40)</f>
        <v>-56</v>
      </c>
      <c r="G80" s="13">
        <f>F80</f>
        <v>-56</v>
      </c>
      <c r="H80" s="11">
        <f t="shared" ref="H80:K80" si="32">G80</f>
        <v>-56</v>
      </c>
      <c r="I80" s="11">
        <f t="shared" si="32"/>
        <v>-56</v>
      </c>
      <c r="J80" s="11">
        <f t="shared" si="32"/>
        <v>-56</v>
      </c>
      <c r="K80" s="11">
        <f t="shared" si="32"/>
        <v>-56</v>
      </c>
    </row>
    <row r="81" spans="2:11" x14ac:dyDescent="0.25">
      <c r="C81" s="11"/>
      <c r="D81" s="11"/>
      <c r="E81" s="11"/>
      <c r="F81" s="11"/>
      <c r="G81" s="11"/>
      <c r="H81" s="11"/>
      <c r="I81" s="11"/>
      <c r="J81" s="11"/>
      <c r="K81" s="11"/>
    </row>
    <row r="82" spans="2:11" x14ac:dyDescent="0.25">
      <c r="C82" s="11"/>
      <c r="D82" s="11"/>
      <c r="E82" s="11"/>
      <c r="F82" s="11"/>
      <c r="G82" s="11"/>
      <c r="H82" s="11"/>
      <c r="I82" s="11"/>
      <c r="J82" s="11"/>
      <c r="K82" s="11"/>
    </row>
    <row r="83" spans="2:11" x14ac:dyDescent="0.25">
      <c r="B83" s="17" t="s">
        <v>296</v>
      </c>
      <c r="C83" s="33">
        <v>44957</v>
      </c>
      <c r="D83" s="33">
        <f>EOMONTH(C83,12)</f>
        <v>45322</v>
      </c>
      <c r="E83" s="33">
        <f t="shared" ref="E83" si="33">EOMONTH(D83,12)</f>
        <v>45688</v>
      </c>
      <c r="F83" s="33">
        <f t="shared" ref="F83" si="34">EOMONTH(E83,12)</f>
        <v>46053</v>
      </c>
      <c r="G83" s="34">
        <f t="shared" ref="G83" si="35">EOMONTH(F83,12)</f>
        <v>46418</v>
      </c>
      <c r="H83" s="34">
        <f t="shared" ref="H83" si="36">EOMONTH(G83,12)</f>
        <v>46783</v>
      </c>
      <c r="I83" s="34">
        <f t="shared" ref="I83" si="37">EOMONTH(H83,12)</f>
        <v>47149</v>
      </c>
      <c r="J83" s="34">
        <f t="shared" ref="J83" si="38">EOMONTH(I83,12)</f>
        <v>47514</v>
      </c>
      <c r="K83" s="34">
        <f t="shared" ref="K83" si="39">EOMONTH(J83,12)</f>
        <v>47879</v>
      </c>
    </row>
    <row r="84" spans="2:11" x14ac:dyDescent="0.25">
      <c r="C84" s="11"/>
      <c r="D84" s="11"/>
      <c r="E84" s="11"/>
      <c r="F84" s="11"/>
      <c r="G84" s="11"/>
      <c r="H84" s="11"/>
      <c r="I84" s="11"/>
      <c r="J84" s="11"/>
      <c r="K84" s="11"/>
    </row>
    <row r="85" spans="2:11" x14ac:dyDescent="0.25">
      <c r="B85" t="s">
        <v>303</v>
      </c>
      <c r="C85" s="11"/>
      <c r="D85" s="11"/>
      <c r="E85" s="11"/>
      <c r="F85" s="11"/>
      <c r="G85" s="11"/>
      <c r="H85" s="11"/>
      <c r="I85" s="11"/>
      <c r="J85" s="11"/>
      <c r="K85" s="11"/>
    </row>
    <row r="86" spans="2:11" x14ac:dyDescent="0.25">
      <c r="B86" s="3" t="s">
        <v>306</v>
      </c>
      <c r="C86" s="11">
        <f>CASH_FLOW!C44</f>
        <v>0</v>
      </c>
      <c r="D86" s="11">
        <f>CASH_FLOW!D44</f>
        <v>-937</v>
      </c>
      <c r="E86" s="11">
        <f>CASH_FLOW!E44</f>
        <v>-280</v>
      </c>
      <c r="F86" s="11">
        <f>CASH_FLOW!F44</f>
        <v>-510</v>
      </c>
      <c r="G86" s="24">
        <v>-350</v>
      </c>
      <c r="H86" s="24">
        <v>0</v>
      </c>
      <c r="I86" s="24">
        <v>0</v>
      </c>
      <c r="J86" s="24">
        <v>0</v>
      </c>
      <c r="K86" s="24">
        <v>0</v>
      </c>
    </row>
    <row r="87" spans="2:11" x14ac:dyDescent="0.25">
      <c r="B87" s="3" t="s">
        <v>305</v>
      </c>
      <c r="C87" s="11">
        <f>CASH_FLOW!C46</f>
        <v>0</v>
      </c>
      <c r="D87" s="11">
        <f>CASH_FLOW!D46</f>
        <v>-7</v>
      </c>
      <c r="E87" s="11">
        <f>CASH_FLOW!E46</f>
        <v>0</v>
      </c>
      <c r="F87" s="11">
        <f>CASH_FLOW!F46</f>
        <v>2</v>
      </c>
      <c r="G87" s="24">
        <v>0</v>
      </c>
      <c r="H87" s="24">
        <v>0</v>
      </c>
      <c r="I87" s="24">
        <v>0</v>
      </c>
      <c r="J87" s="24">
        <v>0</v>
      </c>
      <c r="K87" s="24">
        <v>0</v>
      </c>
    </row>
    <row r="88" spans="2:11" x14ac:dyDescent="0.25">
      <c r="B88" t="s">
        <v>307</v>
      </c>
      <c r="C88" s="11">
        <f>SUM(C86:C87)</f>
        <v>0</v>
      </c>
      <c r="D88" s="11">
        <f t="shared" ref="D88:G88" si="40">SUM(D86:D87)</f>
        <v>-944</v>
      </c>
      <c r="E88" s="11">
        <f t="shared" si="40"/>
        <v>-280</v>
      </c>
      <c r="F88" s="11">
        <f t="shared" si="40"/>
        <v>-508</v>
      </c>
      <c r="G88" s="11">
        <f t="shared" si="40"/>
        <v>-350</v>
      </c>
      <c r="H88" s="11">
        <f t="shared" ref="H88" si="41">SUM(H86:H87)</f>
        <v>0</v>
      </c>
      <c r="I88" s="11">
        <f t="shared" ref="I88" si="42">SUM(I86:I87)</f>
        <v>0</v>
      </c>
      <c r="J88" s="11">
        <f t="shared" ref="J88" si="43">SUM(J86:J87)</f>
        <v>0</v>
      </c>
      <c r="K88" s="11">
        <f t="shared" ref="K88" si="44">SUM(K86:K87)</f>
        <v>0</v>
      </c>
    </row>
    <row r="90" spans="2:11" x14ac:dyDescent="0.25">
      <c r="B90" t="s">
        <v>309</v>
      </c>
    </row>
    <row r="91" spans="2:11" x14ac:dyDescent="0.25">
      <c r="B91" s="3" t="s">
        <v>310</v>
      </c>
      <c r="C91" s="20">
        <f>CASH_FLOW!C45/'Consolidated Model'!C89</f>
        <v>0</v>
      </c>
      <c r="D91" s="20">
        <f>CASH_FLOW!D45/'Consolidated Model'!D89</f>
        <v>0</v>
      </c>
      <c r="E91" s="20">
        <f>CASH_FLOW!E45/'Consolidated Model'!E89</f>
        <v>-0.26194690265486725</v>
      </c>
      <c r="F91" s="20">
        <f>CASH_FLOW!F45/'Consolidated Model'!F89</f>
        <v>-0.35294117647058826</v>
      </c>
      <c r="G91" s="113">
        <f>AVERAGE(E91:F91)</f>
        <v>-0.30744403956272776</v>
      </c>
      <c r="H91" s="20">
        <f>G91</f>
        <v>-0.30744403956272776</v>
      </c>
      <c r="I91" s="20">
        <f t="shared" ref="I91:K91" si="45">H91</f>
        <v>-0.30744403956272776</v>
      </c>
      <c r="J91" s="20">
        <f t="shared" si="45"/>
        <v>-0.30744403956272776</v>
      </c>
      <c r="K91" s="20">
        <f t="shared" si="45"/>
        <v>-0.30744403956272776</v>
      </c>
    </row>
    <row r="92" spans="2:11" x14ac:dyDescent="0.25">
      <c r="B92" s="3"/>
      <c r="C92" s="20"/>
      <c r="D92" s="20"/>
      <c r="E92" s="20"/>
      <c r="F92" s="20"/>
      <c r="G92" s="113"/>
      <c r="H92" s="20"/>
      <c r="I92" s="20"/>
      <c r="J92" s="20"/>
      <c r="K92" s="20"/>
    </row>
    <row r="93" spans="2:11" x14ac:dyDescent="0.25">
      <c r="B93" t="s">
        <v>332</v>
      </c>
      <c r="C93" s="11">
        <f>CASH_FLOW!C48</f>
        <v>17</v>
      </c>
      <c r="D93" s="11">
        <f>CASH_FLOW!D48</f>
        <v>15</v>
      </c>
      <c r="E93" s="11">
        <f>CASH_FLOW!E48</f>
        <v>27</v>
      </c>
      <c r="F93" s="11">
        <f>CASH_FLOW!F48</f>
        <v>12</v>
      </c>
      <c r="G93" s="11">
        <f ca="1">'Options Proceeds Schedule'!D25/1000</f>
        <v>5.4</v>
      </c>
      <c r="H93" s="11">
        <f ca="1">'Options Proceeds Schedule'!E25/1000</f>
        <v>19.32</v>
      </c>
      <c r="I93" s="11">
        <f ca="1">'Options Proceeds Schedule'!F25/1000</f>
        <v>29.96</v>
      </c>
      <c r="J93" s="11">
        <f ca="1">'Options Proceeds Schedule'!G25/1000</f>
        <v>0</v>
      </c>
      <c r="K93" s="11">
        <f>'Options Proceeds Schedule'!H25/1000</f>
        <v>0</v>
      </c>
    </row>
    <row r="94" spans="2:11" x14ac:dyDescent="0.25">
      <c r="B94" t="s">
        <v>333</v>
      </c>
      <c r="C94" s="11">
        <f>CASH_FLOW!C50</f>
        <v>31</v>
      </c>
      <c r="D94" s="11">
        <f>CASH_FLOW!D50</f>
        <v>46</v>
      </c>
      <c r="E94" s="11">
        <f>CASH_FLOW!E50</f>
        <v>42</v>
      </c>
      <c r="F94" s="11">
        <f>CASH_FLOW!F50</f>
        <v>41</v>
      </c>
      <c r="G94" s="13">
        <f>AVERAGE(C94:F94)</f>
        <v>40</v>
      </c>
      <c r="H94" s="11">
        <f>G94</f>
        <v>40</v>
      </c>
      <c r="I94" s="11">
        <f>H94</f>
        <v>40</v>
      </c>
      <c r="J94" s="11">
        <f>I94</f>
        <v>40</v>
      </c>
      <c r="K94" s="11">
        <f>J94</f>
        <v>40</v>
      </c>
    </row>
    <row r="95" spans="2:11" x14ac:dyDescent="0.25">
      <c r="C95" s="11"/>
      <c r="D95" s="11"/>
      <c r="E95" s="11"/>
      <c r="F95" s="11"/>
      <c r="G95" s="11"/>
      <c r="H95" s="11"/>
      <c r="I95" s="11"/>
      <c r="J95" s="11"/>
      <c r="K95" s="11"/>
    </row>
    <row r="96" spans="2:11" x14ac:dyDescent="0.25">
      <c r="B96" s="57" t="s">
        <v>300</v>
      </c>
      <c r="C96" s="11"/>
      <c r="D96" s="11"/>
      <c r="E96" s="11"/>
    </row>
    <row r="97" spans="2:11" x14ac:dyDescent="0.25">
      <c r="B97" s="3" t="s">
        <v>474</v>
      </c>
      <c r="G97">
        <v>0</v>
      </c>
      <c r="H97">
        <v>1</v>
      </c>
      <c r="I97">
        <v>1</v>
      </c>
      <c r="J97">
        <v>1</v>
      </c>
      <c r="K97">
        <v>1</v>
      </c>
    </row>
    <row r="98" spans="2:11" x14ac:dyDescent="0.25">
      <c r="B98" s="3" t="s">
        <v>357</v>
      </c>
      <c r="C98" s="11"/>
      <c r="D98" s="11"/>
      <c r="E98" s="11"/>
      <c r="G98" s="24">
        <v>2000</v>
      </c>
      <c r="H98" s="24">
        <v>2000</v>
      </c>
      <c r="I98" s="24">
        <v>2000</v>
      </c>
      <c r="J98" s="24">
        <v>2000</v>
      </c>
      <c r="K98" s="24">
        <v>2000</v>
      </c>
    </row>
    <row r="99" spans="2:11" x14ac:dyDescent="0.25">
      <c r="B99" s="3" t="s">
        <v>475</v>
      </c>
      <c r="C99" s="43">
        <f>CASH_FLOW!C47</f>
        <v>0</v>
      </c>
      <c r="D99" s="43">
        <f>CASH_FLOW!D47</f>
        <v>0</v>
      </c>
      <c r="E99" s="43">
        <f>CASH_FLOW!E47</f>
        <v>0</v>
      </c>
      <c r="F99" s="43">
        <f>CASH_FLOW!F47</f>
        <v>-73</v>
      </c>
      <c r="G99" s="24">
        <v>-920.69</v>
      </c>
      <c r="H99" s="24">
        <f>G99*1.05</f>
        <v>-966.72450000000015</v>
      </c>
      <c r="I99" s="24">
        <f t="shared" ref="I99:K99" si="46">H99*1.05</f>
        <v>-1015.0607250000002</v>
      </c>
      <c r="J99" s="24">
        <f t="shared" si="46"/>
        <v>-1065.8137612500002</v>
      </c>
      <c r="K99" s="24">
        <f t="shared" si="46"/>
        <v>-1119.1044493125003</v>
      </c>
    </row>
    <row r="100" spans="2:11" x14ac:dyDescent="0.25">
      <c r="B100" s="3" t="s">
        <v>336</v>
      </c>
      <c r="G100" s="11"/>
      <c r="H100" s="11">
        <f ca="1">IF(H97,-MAX(0,SUM('Consolidated Model'!H94,'Consolidated Model'!H102,'Consolidated Model'!H105:H107,'Consolidated Model'!G119-H98)),H99)</f>
        <v>-1230.9142794367526</v>
      </c>
      <c r="I100" s="11">
        <f ca="1">IF(I97,-MAX(0,SUM('Consolidated Model'!I94,'Consolidated Model'!I102,'Consolidated Model'!I105:I107,'Consolidated Model'!H119-I98)),I99)</f>
        <v>-1365.166150064874</v>
      </c>
      <c r="J100" s="11">
        <f ca="1">IF(J97,-MAX(0,SUM('Consolidated Model'!J94,'Consolidated Model'!J102,'Consolidated Model'!J105:J107,'Consolidated Model'!I119-J98)),J99)</f>
        <v>-1624.2082221866528</v>
      </c>
      <c r="K100" s="11">
        <f ca="1">IF(K97,-MAX(0,SUM('Consolidated Model'!K94,'Consolidated Model'!K102,'Consolidated Model'!K105:K107,'Consolidated Model'!J119-K98)),K99)</f>
        <v>-1960.6138417112243</v>
      </c>
    </row>
    <row r="101" spans="2:11" x14ac:dyDescent="0.25">
      <c r="B101" s="128" t="s">
        <v>300</v>
      </c>
      <c r="C101" s="127">
        <f>MIN(C99:C100)</f>
        <v>0</v>
      </c>
      <c r="D101" s="127">
        <f t="shared" ref="D101:K101" si="47">MIN(D99:D100)</f>
        <v>0</v>
      </c>
      <c r="E101" s="127">
        <f t="shared" si="47"/>
        <v>0</v>
      </c>
      <c r="F101" s="127">
        <f t="shared" si="47"/>
        <v>-73</v>
      </c>
      <c r="G101" s="127">
        <f t="shared" si="47"/>
        <v>-920.69</v>
      </c>
      <c r="H101" s="127">
        <f t="shared" ca="1" si="47"/>
        <v>-1230.9142794367526</v>
      </c>
      <c r="I101" s="127">
        <f t="shared" ca="1" si="47"/>
        <v>-1365.166150064874</v>
      </c>
      <c r="J101" s="127">
        <f t="shared" ca="1" si="47"/>
        <v>-1624.2082221866528</v>
      </c>
      <c r="K101" s="127">
        <f t="shared" ca="1" si="47"/>
        <v>-1960.6138417112243</v>
      </c>
    </row>
  </sheetData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916A2-0A6A-42F7-9D8F-1DAE5224E06A}">
  <sheetPr codeName="Sheet8">
    <tabColor theme="3" tint="0.89999084444715716"/>
  </sheetPr>
  <dimension ref="B4:K16"/>
  <sheetViews>
    <sheetView showGridLines="0" zoomScale="80" zoomScaleNormal="80" workbookViewId="0">
      <selection activeCell="D7" sqref="D7"/>
    </sheetView>
  </sheetViews>
  <sheetFormatPr defaultRowHeight="15" x14ac:dyDescent="0.25"/>
  <cols>
    <col min="2" max="2" width="29.42578125" bestFit="1" customWidth="1"/>
    <col min="3" max="11" width="10.7109375" customWidth="1"/>
  </cols>
  <sheetData>
    <row r="4" spans="2:11" x14ac:dyDescent="0.25">
      <c r="B4" s="17" t="s">
        <v>350</v>
      </c>
      <c r="C4" s="33">
        <v>44957</v>
      </c>
      <c r="D4" s="33">
        <f t="shared" ref="D4:K4" si="0">EOMONTH(C4,12)</f>
        <v>45322</v>
      </c>
      <c r="E4" s="33">
        <f t="shared" si="0"/>
        <v>45688</v>
      </c>
      <c r="F4" s="33">
        <f t="shared" si="0"/>
        <v>46053</v>
      </c>
      <c r="G4" s="34">
        <f t="shared" si="0"/>
        <v>46418</v>
      </c>
      <c r="H4" s="34">
        <f t="shared" si="0"/>
        <v>46783</v>
      </c>
      <c r="I4" s="34">
        <f t="shared" si="0"/>
        <v>47149</v>
      </c>
      <c r="J4" s="34">
        <f t="shared" si="0"/>
        <v>47514</v>
      </c>
      <c r="K4" s="34">
        <f t="shared" si="0"/>
        <v>47879</v>
      </c>
    </row>
    <row r="6" spans="2:11" x14ac:dyDescent="0.25">
      <c r="B6" t="s">
        <v>343</v>
      </c>
      <c r="C6" s="133"/>
      <c r="D6" s="134">
        <f>C15</f>
        <v>5466</v>
      </c>
      <c r="E6" s="134">
        <f t="shared" ref="E6:K6" si="1">D15</f>
        <v>5888</v>
      </c>
      <c r="F6" s="134">
        <f t="shared" si="1"/>
        <v>6405</v>
      </c>
      <c r="G6" s="134">
        <f t="shared" si="1"/>
        <v>6999</v>
      </c>
      <c r="H6" s="134">
        <f t="shared" ca="1" si="1"/>
        <v>6964.8387073886352</v>
      </c>
      <c r="I6" s="134">
        <f t="shared" ca="1" si="1"/>
        <v>6813.5482092994735</v>
      </c>
      <c r="J6" s="134">
        <f t="shared" ca="1" si="1"/>
        <v>6754.4318211885893</v>
      </c>
      <c r="K6" s="134">
        <f t="shared" ca="1" si="1"/>
        <v>6708.0411001311386</v>
      </c>
    </row>
    <row r="7" spans="2:11" x14ac:dyDescent="0.25">
      <c r="C7" s="133"/>
      <c r="D7" s="133"/>
      <c r="E7" s="133"/>
      <c r="F7" s="133"/>
      <c r="G7" s="133"/>
      <c r="H7" s="133"/>
      <c r="I7" s="133"/>
      <c r="J7" s="133"/>
      <c r="K7" s="133"/>
    </row>
    <row r="8" spans="2:11" x14ac:dyDescent="0.25">
      <c r="B8" t="s">
        <v>25</v>
      </c>
      <c r="C8" s="11"/>
      <c r="D8" s="11">
        <f>STOCKHOLDERS_EQUITY!J15</f>
        <v>-355</v>
      </c>
      <c r="E8" s="11">
        <f>STOCKHOLDERS_EQUITY!J25</f>
        <v>28</v>
      </c>
      <c r="F8" s="11">
        <f>STOCKHOLDERS_EQUITY!J38</f>
        <v>235</v>
      </c>
      <c r="G8" s="11">
        <f ca="1">'Consolidated Model'!G36</f>
        <v>442.2221160754824</v>
      </c>
      <c r="H8" s="11">
        <f ca="1">'Consolidated Model'!H36</f>
        <v>603.47195759633871</v>
      </c>
      <c r="I8" s="11">
        <f ca="1">'Consolidated Model'!I36</f>
        <v>801.75288916264572</v>
      </c>
      <c r="J8" s="11">
        <f ca="1">'Consolidated Model'!J36</f>
        <v>1060.9905586497212</v>
      </c>
      <c r="K8" s="11">
        <f ca="1">'Consolidated Model'!K36</f>
        <v>1362.5073353806538</v>
      </c>
    </row>
    <row r="9" spans="2:11" x14ac:dyDescent="0.25">
      <c r="B9" t="s">
        <v>348</v>
      </c>
      <c r="C9" s="11"/>
      <c r="D9" s="11">
        <f>STOCKHOLDERS_EQUITY!J12</f>
        <v>690</v>
      </c>
      <c r="E9" s="11">
        <f>STOCKHOLDERS_EQUITY!J23</f>
        <v>570</v>
      </c>
      <c r="F9" s="11">
        <f>STOCKHOLDERS_EQUITY!J36</f>
        <v>549</v>
      </c>
      <c r="G9" s="11">
        <f ca="1">'Consolidated Model'!G89</f>
        <v>572.23764425177978</v>
      </c>
      <c r="H9" s="11">
        <f ca="1">'Consolidated Model'!H89</f>
        <v>599.44877737985144</v>
      </c>
      <c r="I9" s="11">
        <f ca="1">'Consolidated Model'!I89</f>
        <v>628.53675032484318</v>
      </c>
      <c r="J9" s="11">
        <f ca="1">'Consolidated Model'!J89</f>
        <v>669.73207794880079</v>
      </c>
      <c r="K9" s="11">
        <f ca="1">'Consolidated Model'!K89</f>
        <v>714.0957056183604</v>
      </c>
    </row>
    <row r="10" spans="2:11" x14ac:dyDescent="0.25">
      <c r="B10" t="s">
        <v>344</v>
      </c>
      <c r="C10" s="11"/>
      <c r="D10" s="11">
        <f>STOCKHOLDERS_EQUITY!J7</f>
        <v>67</v>
      </c>
      <c r="E10" s="11">
        <f>STOCKHOLDERS_EQUITY!J18</f>
        <v>74</v>
      </c>
      <c r="F10" s="11">
        <f>STOCKHOLDERS_EQUITY!J28</f>
        <v>53</v>
      </c>
      <c r="G10" s="11">
        <f>'Consolidated Model'!G107</f>
        <v>48</v>
      </c>
      <c r="H10" s="11">
        <f>'Consolidated Model'!H107</f>
        <v>61</v>
      </c>
      <c r="I10" s="11">
        <f>'Consolidated Model'!I107</f>
        <v>69</v>
      </c>
      <c r="J10" s="11">
        <f>'Consolidated Model'!J107</f>
        <v>53</v>
      </c>
      <c r="K10" s="11">
        <f ca="1">'Consolidated Model'!K107</f>
        <v>45.4</v>
      </c>
    </row>
    <row r="11" spans="2:11" x14ac:dyDescent="0.25">
      <c r="B11" t="s">
        <v>345</v>
      </c>
      <c r="C11" s="11"/>
      <c r="D11" s="11">
        <f>STOCKHOLDERS_EQUITY!J13</f>
        <v>-7</v>
      </c>
      <c r="E11" s="11">
        <f>STOCKHOLDERS_EQUITY!J20</f>
        <v>-149</v>
      </c>
      <c r="F11" s="11">
        <f>STOCKHOLDERS_EQUITY!J30</f>
        <v>-191</v>
      </c>
      <c r="G11" s="11">
        <f ca="1">'Consolidated Model'!G106</f>
        <v>-175.93105293862632</v>
      </c>
      <c r="H11" s="11">
        <f ca="1">'Consolidated Model'!H106</f>
        <v>-184.29695362859982</v>
      </c>
      <c r="I11" s="11">
        <f ca="1">'Consolidated Model'!I106</f>
        <v>-193.23987753349942</v>
      </c>
      <c r="J11" s="11">
        <f ca="1">'Consolidated Model'!J106</f>
        <v>-205.90513546931899</v>
      </c>
      <c r="K11" s="11">
        <f ca="1">'Consolidated Model'!K106</f>
        <v>-219.54446836970519</v>
      </c>
    </row>
    <row r="12" spans="2:11" x14ac:dyDescent="0.25">
      <c r="B12" t="s">
        <v>352</v>
      </c>
      <c r="C12" s="11"/>
      <c r="D12" s="11"/>
      <c r="E12" s="11"/>
      <c r="F12" s="11">
        <f>STOCKHOLDERS_EQUITY!J31</f>
        <v>-79</v>
      </c>
      <c r="G12" s="11">
        <f>'Consolidated Model'!G108</f>
        <v>-920.69</v>
      </c>
      <c r="H12" s="11">
        <f ca="1">'Consolidated Model'!H108</f>
        <v>-1230.9142794367526</v>
      </c>
      <c r="I12" s="11">
        <f ca="1">'Consolidated Model'!I108</f>
        <v>-1365.166150064874</v>
      </c>
      <c r="J12" s="11">
        <f ca="1">'Consolidated Model'!J108</f>
        <v>-1624.2082221866528</v>
      </c>
      <c r="K12" s="11">
        <f ca="1">'Consolidated Model'!K108</f>
        <v>-1960.6138417112243</v>
      </c>
    </row>
    <row r="13" spans="2:11" x14ac:dyDescent="0.25">
      <c r="B13" t="s">
        <v>351</v>
      </c>
      <c r="C13" s="11"/>
      <c r="D13" s="11">
        <f>STOCKHOLDERS_EQUITY!J14</f>
        <v>27</v>
      </c>
      <c r="E13" s="11">
        <f>STOCKHOLDERS_EQUITY!J24</f>
        <v>-6</v>
      </c>
      <c r="F13" s="11">
        <f>SUM(STOCKHOLDERS_EQUITY!J35,STOCKHOLDERS_EQUITY!J37)</f>
        <v>27</v>
      </c>
      <c r="G13" s="11"/>
      <c r="H13" s="11"/>
      <c r="I13" s="11"/>
      <c r="J13" s="11"/>
      <c r="K13" s="11"/>
    </row>
    <row r="14" spans="2:11" x14ac:dyDescent="0.25">
      <c r="C14" s="133"/>
      <c r="D14" s="133"/>
      <c r="E14" s="133"/>
      <c r="F14" s="133"/>
      <c r="G14" s="133"/>
      <c r="H14" s="133"/>
      <c r="I14" s="133"/>
      <c r="J14" s="133"/>
      <c r="K14" s="133"/>
    </row>
    <row r="15" spans="2:11" x14ac:dyDescent="0.25">
      <c r="B15" t="s">
        <v>347</v>
      </c>
      <c r="C15" s="134">
        <f>STOCKHOLDERS_EQUITY!J6</f>
        <v>5466</v>
      </c>
      <c r="D15" s="134">
        <f>SUM(D6:D14)</f>
        <v>5888</v>
      </c>
      <c r="E15" s="134">
        <f>SUM(E6:E14)</f>
        <v>6405</v>
      </c>
      <c r="F15" s="134">
        <f>SUM(F6:F14)</f>
        <v>6999</v>
      </c>
      <c r="G15" s="134">
        <f t="shared" ref="G15:K15" ca="1" si="2">SUM(G6:G14)</f>
        <v>6964.8387073886352</v>
      </c>
      <c r="H15" s="134">
        <f t="shared" ca="1" si="2"/>
        <v>6813.5482092994735</v>
      </c>
      <c r="I15" s="134">
        <f t="shared" ca="1" si="2"/>
        <v>6754.4318211885893</v>
      </c>
      <c r="J15" s="134">
        <f t="shared" ca="1" si="2"/>
        <v>6708.0411001311386</v>
      </c>
      <c r="K15" s="134">
        <f t="shared" ca="1" si="2"/>
        <v>6649.8858310492224</v>
      </c>
    </row>
    <row r="16" spans="2:11" x14ac:dyDescent="0.25">
      <c r="D16" s="133"/>
      <c r="E16" s="133"/>
      <c r="F16" s="133"/>
      <c r="G16" s="133"/>
      <c r="H16" s="133"/>
      <c r="I16" s="133"/>
      <c r="J16" s="133"/>
      <c r="K16" s="13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F8FE7-2587-4DC6-81C6-07EA7A25E48C}">
  <sheetPr codeName="Sheet9">
    <tabColor theme="3" tint="0.89999084444715716"/>
  </sheetPr>
  <dimension ref="B2:L38"/>
  <sheetViews>
    <sheetView showGridLines="0" zoomScale="80" zoomScaleNormal="80" workbookViewId="0">
      <selection activeCell="B3" sqref="B3"/>
    </sheetView>
  </sheetViews>
  <sheetFormatPr defaultRowHeight="15" x14ac:dyDescent="0.25"/>
  <cols>
    <col min="2" max="2" width="34" bestFit="1" customWidth="1"/>
    <col min="3" max="12" width="10.7109375" customWidth="1"/>
  </cols>
  <sheetData>
    <row r="2" spans="2:12" x14ac:dyDescent="0.25">
      <c r="B2" t="s">
        <v>312</v>
      </c>
    </row>
    <row r="4" spans="2:12" x14ac:dyDescent="0.25">
      <c r="B4" t="s">
        <v>323</v>
      </c>
      <c r="C4" s="20">
        <v>1.46</v>
      </c>
    </row>
    <row r="5" spans="2:12" x14ac:dyDescent="0.25">
      <c r="B5" t="s">
        <v>327</v>
      </c>
      <c r="C5" s="11">
        <f ca="1">SUMPRODUCT(D21:G21,D23:G23)/SUM(D21:G21)</f>
        <v>87.300827026854421</v>
      </c>
    </row>
    <row r="7" spans="2:12" x14ac:dyDescent="0.25">
      <c r="K7" s="95"/>
      <c r="L7" s="95"/>
    </row>
    <row r="8" spans="2:12" x14ac:dyDescent="0.25">
      <c r="D8" s="2" t="s">
        <v>325</v>
      </c>
      <c r="I8" s="2" t="s">
        <v>324</v>
      </c>
      <c r="L8" s="18"/>
    </row>
    <row r="9" spans="2:12" x14ac:dyDescent="0.25">
      <c r="B9" s="94" t="s">
        <v>320</v>
      </c>
      <c r="C9" s="72">
        <f t="shared" ref="C9:F9" si="0">D9-365</f>
        <v>44228</v>
      </c>
      <c r="D9" s="72">
        <f t="shared" si="0"/>
        <v>44593</v>
      </c>
      <c r="E9" s="72">
        <f t="shared" si="0"/>
        <v>44958</v>
      </c>
      <c r="F9" s="72">
        <f t="shared" si="0"/>
        <v>45323</v>
      </c>
      <c r="G9" s="72">
        <f>H9-365</f>
        <v>45688</v>
      </c>
      <c r="H9" s="72">
        <v>46053</v>
      </c>
      <c r="I9" s="72">
        <f>H9+365</f>
        <v>46418</v>
      </c>
      <c r="J9" s="72">
        <f t="shared" ref="J9" si="1">I9+365</f>
        <v>46783</v>
      </c>
      <c r="K9" s="72">
        <f t="shared" ref="K9:L9" si="2">J9+365</f>
        <v>47148</v>
      </c>
      <c r="L9" s="72">
        <f t="shared" si="2"/>
        <v>47513</v>
      </c>
    </row>
    <row r="10" spans="2:12" x14ac:dyDescent="0.25">
      <c r="B10" t="s">
        <v>321</v>
      </c>
      <c r="C10" s="116">
        <f t="shared" ref="C10:G10" ca="1" si="3">AVERAGE(_xlfn.STOCKHISTORY("OKTA",C9-365,C9,1,0,1))</f>
        <v>199.21679245283019</v>
      </c>
      <c r="D10" s="116">
        <f t="shared" ca="1" si="3"/>
        <v>238.86603773584906</v>
      </c>
      <c r="E10" s="116">
        <f t="shared" ca="1" si="3"/>
        <v>95.774716981132059</v>
      </c>
      <c r="F10" s="116">
        <f t="shared" ca="1" si="3"/>
        <v>77.359905660377379</v>
      </c>
      <c r="G10" s="116">
        <f t="shared" ca="1" si="3"/>
        <v>88.156037735849068</v>
      </c>
      <c r="H10" s="117">
        <f ca="1">AVERAGE(_xlfn.STOCKHISTORY("OKTA",H9-365,H9,1,0,1))</f>
        <v>96.055471698113223</v>
      </c>
      <c r="I10" s="116">
        <v>100</v>
      </c>
      <c r="J10" s="18">
        <v>120</v>
      </c>
      <c r="K10" s="18">
        <v>140</v>
      </c>
      <c r="L10" s="18">
        <v>160</v>
      </c>
    </row>
    <row r="11" spans="2:12" x14ac:dyDescent="0.25">
      <c r="B11" t="s">
        <v>322</v>
      </c>
      <c r="C11" s="18">
        <f t="shared" ref="C11:H11" ca="1" si="4">C10*$C$4</f>
        <v>290.85651698113207</v>
      </c>
      <c r="D11" s="18">
        <f t="shared" ca="1" si="4"/>
        <v>348.74441509433962</v>
      </c>
      <c r="E11" s="18">
        <f t="shared" ca="1" si="4"/>
        <v>139.83108679245279</v>
      </c>
      <c r="F11" s="18">
        <f t="shared" ca="1" si="4"/>
        <v>112.94546226415098</v>
      </c>
      <c r="G11" s="18">
        <f t="shared" ca="1" si="4"/>
        <v>128.70781509433965</v>
      </c>
      <c r="H11" s="118">
        <f t="shared" ca="1" si="4"/>
        <v>140.24098867924531</v>
      </c>
      <c r="I11" s="18">
        <f t="shared" ref="I11:L11" si="5">I10*$C$4</f>
        <v>146</v>
      </c>
      <c r="J11" s="18">
        <f t="shared" si="5"/>
        <v>175.2</v>
      </c>
      <c r="K11" s="18">
        <f t="shared" si="5"/>
        <v>204.4</v>
      </c>
      <c r="L11" s="18">
        <f t="shared" si="5"/>
        <v>233.6</v>
      </c>
    </row>
    <row r="12" spans="2:12" x14ac:dyDescent="0.25">
      <c r="B12" t="s">
        <v>331</v>
      </c>
      <c r="C12" s="20">
        <v>0.2</v>
      </c>
      <c r="D12" s="20">
        <v>0.2</v>
      </c>
      <c r="E12" s="20">
        <v>0.2</v>
      </c>
      <c r="F12" s="20">
        <v>0.2</v>
      </c>
      <c r="G12" s="20">
        <v>0.2</v>
      </c>
      <c r="H12" s="18"/>
      <c r="I12" s="18"/>
      <c r="J12" s="18"/>
      <c r="K12" s="18"/>
      <c r="L12" s="18"/>
    </row>
    <row r="14" spans="2:12" x14ac:dyDescent="0.25">
      <c r="C14" s="119" t="s">
        <v>326</v>
      </c>
    </row>
    <row r="15" spans="2:12" x14ac:dyDescent="0.25">
      <c r="B15" s="94"/>
      <c r="C15" s="72">
        <v>46053</v>
      </c>
      <c r="D15" s="72">
        <v>46418</v>
      </c>
      <c r="E15" s="72">
        <f>D15+365</f>
        <v>46783</v>
      </c>
      <c r="F15" s="72">
        <f>E15+365</f>
        <v>47148</v>
      </c>
      <c r="G15" s="72">
        <f>F15+365</f>
        <v>47513</v>
      </c>
      <c r="H15" s="95"/>
      <c r="I15" s="95"/>
    </row>
    <row r="16" spans="2:12" x14ac:dyDescent="0.25">
      <c r="B16" t="s">
        <v>317</v>
      </c>
      <c r="C16" s="120"/>
      <c r="E16" s="11"/>
      <c r="F16" s="11"/>
      <c r="G16" s="11"/>
      <c r="H16" s="11"/>
      <c r="I16" s="11"/>
    </row>
    <row r="17" spans="2:9" x14ac:dyDescent="0.25">
      <c r="B17" s="3" t="s">
        <v>313</v>
      </c>
      <c r="C17" s="121">
        <v>2199</v>
      </c>
      <c r="D17" s="11">
        <f>C29</f>
        <v>1071</v>
      </c>
      <c r="E17" s="11">
        <f ca="1">D29</f>
        <v>671.51612903225805</v>
      </c>
      <c r="F17" s="11">
        <f ca="1">E29</f>
        <v>190.74654377880182</v>
      </c>
      <c r="G17" s="11">
        <f ca="1">F29</f>
        <v>0</v>
      </c>
      <c r="H17" s="11"/>
      <c r="I17" s="11"/>
    </row>
    <row r="18" spans="2:9" x14ac:dyDescent="0.25">
      <c r="B18" s="3" t="s">
        <v>319</v>
      </c>
      <c r="C18" s="122">
        <v>57.98</v>
      </c>
      <c r="F18" s="115"/>
      <c r="G18" s="115"/>
      <c r="H18" s="115"/>
      <c r="I18" s="115"/>
    </row>
    <row r="19" spans="2:9" x14ac:dyDescent="0.25">
      <c r="B19" t="s">
        <v>315</v>
      </c>
      <c r="C19" s="123">
        <v>2.8</v>
      </c>
      <c r="D19" s="26">
        <v>3.1</v>
      </c>
      <c r="E19" s="26">
        <f>D19-1</f>
        <v>2.1</v>
      </c>
      <c r="F19" s="26">
        <f>E19-1</f>
        <v>1.1000000000000001</v>
      </c>
      <c r="G19" s="26">
        <f>F19-1</f>
        <v>0.10000000000000009</v>
      </c>
      <c r="H19" s="26"/>
      <c r="I19" s="26"/>
    </row>
    <row r="20" spans="2:9" x14ac:dyDescent="0.25">
      <c r="B20" t="s">
        <v>329</v>
      </c>
      <c r="C20" s="124">
        <f>C21/C17</f>
        <v>0.51296043656207368</v>
      </c>
      <c r="D20" s="29">
        <f ca="1">IF(SUMIFS(D12:H12,D11:H11,"&lt;"&amp;D22)=0,5%,SUMIFS(D12:H12,D11:H11,"&lt;"&amp;D22))</f>
        <v>0.05</v>
      </c>
      <c r="E20" s="29">
        <f ca="1">MAX(SUMIFS(E12:I12,E11:I11,"&lt;"&amp;E22)-SUM($D$20:D20),0)</f>
        <v>0.15000000000000002</v>
      </c>
      <c r="F20" s="29">
        <f ca="1">MAX(SUMIFS(F12:J12,F11:J11,"&lt;"&amp;F22)-SUM($D$20:E20),0)</f>
        <v>0.2</v>
      </c>
      <c r="G20" s="29">
        <f ca="1">MAX(SUMIFS(G12:K12,G11:K11,"&lt;"&amp;G22)-SUM($D$20:F20),0)</f>
        <v>0</v>
      </c>
      <c r="H20" s="20"/>
      <c r="I20" s="20"/>
    </row>
    <row r="21" spans="2:9" x14ac:dyDescent="0.25">
      <c r="B21" t="s">
        <v>316</v>
      </c>
      <c r="C21" s="121">
        <v>1128</v>
      </c>
      <c r="D21">
        <f ca="1">ROUND($D$17*D20,0)</f>
        <v>54</v>
      </c>
      <c r="E21">
        <f ca="1">ROUND($D$17*E20,0)</f>
        <v>161</v>
      </c>
      <c r="F21">
        <f ca="1">ROUND($D$17*F20,0)</f>
        <v>214</v>
      </c>
      <c r="G21">
        <f ca="1">ROUND($D$17*G20,0)</f>
        <v>0</v>
      </c>
    </row>
    <row r="22" spans="2:9" x14ac:dyDescent="0.25">
      <c r="B22" t="s">
        <v>314</v>
      </c>
      <c r="C22" s="96"/>
      <c r="D22" s="38">
        <v>100</v>
      </c>
      <c r="E22" s="38">
        <v>120</v>
      </c>
      <c r="F22" s="38">
        <v>140</v>
      </c>
      <c r="G22" s="38">
        <v>160</v>
      </c>
    </row>
    <row r="23" spans="2:9" x14ac:dyDescent="0.25">
      <c r="B23" t="s">
        <v>328</v>
      </c>
      <c r="C23" s="122">
        <v>10.11</v>
      </c>
      <c r="D23" s="114">
        <f>D22/$C$4</f>
        <v>68.493150684931507</v>
      </c>
      <c r="E23" s="116">
        <f>E22/$C$4</f>
        <v>82.191780821917817</v>
      </c>
      <c r="F23" s="116">
        <f>F22/$C$4</f>
        <v>95.890410958904113</v>
      </c>
      <c r="G23" s="116">
        <f>G22/$C$4</f>
        <v>109.58904109589041</v>
      </c>
      <c r="H23" s="11"/>
    </row>
    <row r="24" spans="2:9" x14ac:dyDescent="0.25">
      <c r="C24" s="96"/>
      <c r="H24" s="11"/>
      <c r="I24" s="11"/>
    </row>
    <row r="25" spans="2:9" x14ac:dyDescent="0.25">
      <c r="B25" t="s">
        <v>311</v>
      </c>
      <c r="C25" s="122">
        <f>C23*C21</f>
        <v>11404.08</v>
      </c>
      <c r="D25" s="38">
        <f ca="1">D21*D22</f>
        <v>5400</v>
      </c>
      <c r="E25" s="38">
        <f ca="1">E21*E22</f>
        <v>19320</v>
      </c>
      <c r="F25" s="38">
        <f ca="1">F21*F22</f>
        <v>29960</v>
      </c>
      <c r="G25" s="38">
        <f ca="1">G21*G22</f>
        <v>0</v>
      </c>
      <c r="H25" s="11"/>
      <c r="I25" s="11"/>
    </row>
    <row r="26" spans="2:9" x14ac:dyDescent="0.25">
      <c r="C26" s="96"/>
      <c r="H26" s="11"/>
      <c r="I26" s="11"/>
    </row>
    <row r="27" spans="2:9" x14ac:dyDescent="0.25">
      <c r="B27" t="s">
        <v>330</v>
      </c>
      <c r="C27" s="96"/>
      <c r="D27" s="11">
        <f>D17/D19</f>
        <v>345.48387096774195</v>
      </c>
      <c r="E27" s="11">
        <f ca="1">E17/E19</f>
        <v>319.76958525345623</v>
      </c>
      <c r="F27" s="11">
        <f t="shared" ref="F27:G27" ca="1" si="6">F17/F19</f>
        <v>173.40594888981983</v>
      </c>
      <c r="G27" s="11">
        <f t="shared" ca="1" si="6"/>
        <v>0</v>
      </c>
    </row>
    <row r="28" spans="2:9" x14ac:dyDescent="0.25">
      <c r="B28" t="s">
        <v>318</v>
      </c>
      <c r="C28" s="125"/>
      <c r="E28" s="11"/>
      <c r="F28" s="11"/>
      <c r="G28" s="11"/>
    </row>
    <row r="29" spans="2:9" x14ac:dyDescent="0.25">
      <c r="B29" s="3" t="s">
        <v>313</v>
      </c>
      <c r="C29" s="121">
        <f>C17-C21</f>
        <v>1071</v>
      </c>
      <c r="D29" s="11">
        <f t="shared" ref="D29:E29" ca="1" si="7">MAX(D17-D21-D27,0)</f>
        <v>671.51612903225805</v>
      </c>
      <c r="E29" s="11">
        <f t="shared" ca="1" si="7"/>
        <v>190.74654377880182</v>
      </c>
      <c r="F29" s="11">
        <f ca="1">MAX(F17-F21-F27,0)</f>
        <v>0</v>
      </c>
      <c r="G29" s="11">
        <f t="shared" ref="G29" ca="1" si="8">MAX(G17-G21-G27,0)</f>
        <v>0</v>
      </c>
    </row>
    <row r="37" spans="5:8" x14ac:dyDescent="0.25">
      <c r="E37" s="26"/>
      <c r="F37" s="26"/>
      <c r="G37" s="26"/>
      <c r="H37" s="26"/>
    </row>
    <row r="38" spans="5:8" x14ac:dyDescent="0.25">
      <c r="E38" s="26"/>
      <c r="F38" s="26"/>
      <c r="G38" s="26"/>
      <c r="H38" s="2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1A9CB-526C-4810-B232-BB2F0CFC3719}">
  <sheetPr codeName="Sheet10">
    <tabColor theme="3" tint="0.89999084444715716"/>
  </sheetPr>
  <dimension ref="B2:L40"/>
  <sheetViews>
    <sheetView showGridLines="0" zoomScale="80" zoomScaleNormal="80" workbookViewId="0">
      <selection activeCell="D22" sqref="D22"/>
    </sheetView>
  </sheetViews>
  <sheetFormatPr defaultRowHeight="15" x14ac:dyDescent="0.25"/>
  <cols>
    <col min="2" max="2" width="33.7109375" customWidth="1"/>
    <col min="3" max="11" width="12.7109375" customWidth="1"/>
  </cols>
  <sheetData>
    <row r="2" spans="2:11" x14ac:dyDescent="0.25">
      <c r="B2" t="s">
        <v>286</v>
      </c>
    </row>
    <row r="4" spans="2:11" x14ac:dyDescent="0.25">
      <c r="B4" s="72" t="s">
        <v>120</v>
      </c>
      <c r="C4" s="72">
        <v>45322</v>
      </c>
      <c r="D4" s="72">
        <v>45688</v>
      </c>
      <c r="E4" s="72">
        <v>46053</v>
      </c>
      <c r="F4" s="72" t="s">
        <v>121</v>
      </c>
    </row>
    <row r="5" spans="2:11" x14ac:dyDescent="0.25">
      <c r="B5" s="59" t="s">
        <v>114</v>
      </c>
      <c r="C5" s="76">
        <f>SUM(C31:C32)</f>
        <v>3</v>
      </c>
      <c r="D5" s="76">
        <f>SUM(C22:C23)</f>
        <v>512</v>
      </c>
      <c r="E5" s="76">
        <f>SUM(C13:C14)</f>
        <v>351</v>
      </c>
      <c r="F5" s="73">
        <v>0</v>
      </c>
    </row>
    <row r="6" spans="2:11" x14ac:dyDescent="0.25">
      <c r="B6" s="59" t="s">
        <v>122</v>
      </c>
      <c r="C6" s="63">
        <f>C33</f>
        <v>37</v>
      </c>
      <c r="D6" s="73">
        <f>C24</f>
        <v>34</v>
      </c>
      <c r="E6" s="63">
        <f>C15</f>
        <v>36</v>
      </c>
      <c r="F6" s="73">
        <v>77</v>
      </c>
    </row>
    <row r="7" spans="2:11" x14ac:dyDescent="0.25">
      <c r="B7" s="68" t="s">
        <v>118</v>
      </c>
      <c r="C7" s="69">
        <f>C34</f>
        <v>262</v>
      </c>
      <c r="D7" s="74">
        <f>C25</f>
        <v>336</v>
      </c>
      <c r="E7" s="69">
        <f>C16</f>
        <v>306</v>
      </c>
      <c r="F7" s="74">
        <v>163</v>
      </c>
    </row>
    <row r="8" spans="2:11" x14ac:dyDescent="0.25">
      <c r="B8" s="66" t="s">
        <v>119</v>
      </c>
      <c r="C8" s="67">
        <f>SUM(C5:C7)</f>
        <v>302</v>
      </c>
      <c r="D8" s="67">
        <f>SUM(D5:D7)</f>
        <v>882</v>
      </c>
      <c r="E8" s="67">
        <f>SUM(E5:E7)</f>
        <v>693</v>
      </c>
      <c r="F8" s="67">
        <f>SUM(F5:F7)</f>
        <v>240</v>
      </c>
    </row>
    <row r="11" spans="2:11" x14ac:dyDescent="0.25">
      <c r="B11" s="72">
        <v>46053</v>
      </c>
      <c r="C11" s="72">
        <v>46418</v>
      </c>
      <c r="D11" s="72">
        <f>C11+365</f>
        <v>46783</v>
      </c>
      <c r="E11" s="72">
        <f>D11+365</f>
        <v>47148</v>
      </c>
      <c r="F11" s="72">
        <f t="shared" ref="F11:G11" si="0">E11+365</f>
        <v>47513</v>
      </c>
      <c r="G11" s="72">
        <f t="shared" si="0"/>
        <v>47878</v>
      </c>
      <c r="H11" s="72" t="s">
        <v>111</v>
      </c>
      <c r="I11" s="70" t="s">
        <v>112</v>
      </c>
      <c r="J11" s="70" t="s">
        <v>113</v>
      </c>
    </row>
    <row r="12" spans="2:11" x14ac:dyDescent="0.25">
      <c r="B12" s="59" t="s">
        <v>114</v>
      </c>
      <c r="C12" s="71"/>
      <c r="G12" s="109"/>
      <c r="I12" s="71"/>
      <c r="J12" s="71"/>
    </row>
    <row r="13" spans="2:11" x14ac:dyDescent="0.25">
      <c r="B13" s="65" t="s">
        <v>115</v>
      </c>
      <c r="C13" s="61">
        <v>350</v>
      </c>
      <c r="G13" s="96"/>
      <c r="H13" s="4">
        <f>C13</f>
        <v>350</v>
      </c>
      <c r="I13" s="73">
        <v>0</v>
      </c>
      <c r="J13" s="61">
        <v>350</v>
      </c>
    </row>
    <row r="14" spans="2:11" x14ac:dyDescent="0.25">
      <c r="B14" s="65" t="s">
        <v>116</v>
      </c>
      <c r="C14" s="63">
        <v>1</v>
      </c>
      <c r="G14" s="96"/>
      <c r="H14">
        <f t="shared" ref="H14:H16" si="1">C14</f>
        <v>1</v>
      </c>
      <c r="I14" s="83">
        <v>0</v>
      </c>
      <c r="J14" s="83">
        <v>1</v>
      </c>
      <c r="K14" s="83"/>
    </row>
    <row r="15" spans="2:11" x14ac:dyDescent="0.25">
      <c r="B15" s="59" t="s">
        <v>117</v>
      </c>
      <c r="C15" s="11">
        <f>'Lease Liability Schedule'!G10</f>
        <v>36</v>
      </c>
      <c r="D15" s="82">
        <f>'Lease Liability Schedule'!H10</f>
        <v>39</v>
      </c>
      <c r="E15">
        <f>'Lease Liability Schedule'!I10</f>
        <v>31</v>
      </c>
      <c r="F15">
        <f>'Lease Liability Schedule'!J10</f>
        <v>4</v>
      </c>
      <c r="G15" s="96">
        <f>'Lease Liability Schedule'!K10</f>
        <v>2</v>
      </c>
      <c r="H15">
        <f t="shared" si="1"/>
        <v>36</v>
      </c>
      <c r="I15" s="83">
        <f>SUM(D15:G15)</f>
        <v>76</v>
      </c>
      <c r="J15" s="83">
        <v>113</v>
      </c>
      <c r="K15" s="83"/>
    </row>
    <row r="16" spans="2:11" x14ac:dyDescent="0.25">
      <c r="B16" s="68" t="s">
        <v>118</v>
      </c>
      <c r="C16" s="69">
        <v>306</v>
      </c>
      <c r="D16" s="7"/>
      <c r="E16" s="7"/>
      <c r="F16" s="7"/>
      <c r="G16" s="110"/>
      <c r="H16" s="7">
        <f t="shared" si="1"/>
        <v>306</v>
      </c>
      <c r="I16" s="84">
        <v>163</v>
      </c>
      <c r="J16" s="84">
        <v>469</v>
      </c>
      <c r="K16" s="5"/>
    </row>
    <row r="17" spans="2:12" x14ac:dyDescent="0.25">
      <c r="B17" s="66" t="s">
        <v>119</v>
      </c>
      <c r="C17" s="67">
        <v>693</v>
      </c>
      <c r="H17" s="10">
        <f>SUM(H13:H16)</f>
        <v>693</v>
      </c>
      <c r="I17" s="75">
        <f>SUM(I13:I16)</f>
        <v>239</v>
      </c>
      <c r="J17" s="67">
        <v>933</v>
      </c>
    </row>
    <row r="20" spans="2:12" x14ac:dyDescent="0.25">
      <c r="B20" s="72">
        <v>45688</v>
      </c>
      <c r="C20" s="70" t="s">
        <v>111</v>
      </c>
      <c r="D20" s="70" t="s">
        <v>112</v>
      </c>
      <c r="E20" s="70" t="s">
        <v>113</v>
      </c>
      <c r="J20" s="83"/>
      <c r="K20" s="83"/>
      <c r="L20" s="83"/>
    </row>
    <row r="21" spans="2:12" x14ac:dyDescent="0.25">
      <c r="B21" s="59" t="s">
        <v>114</v>
      </c>
      <c r="C21" s="71"/>
      <c r="D21" s="71"/>
      <c r="E21" s="71"/>
      <c r="J21" s="83"/>
      <c r="K21" s="83"/>
      <c r="L21" s="83"/>
    </row>
    <row r="22" spans="2:12" x14ac:dyDescent="0.25">
      <c r="B22" s="65" t="s">
        <v>115</v>
      </c>
      <c r="C22" s="61">
        <v>510</v>
      </c>
      <c r="D22" s="73">
        <v>350</v>
      </c>
      <c r="E22" s="61">
        <v>860</v>
      </c>
    </row>
    <row r="23" spans="2:12" x14ac:dyDescent="0.25">
      <c r="B23" s="65" t="s">
        <v>116</v>
      </c>
      <c r="C23" s="83">
        <v>2</v>
      </c>
      <c r="D23" s="83">
        <v>1</v>
      </c>
      <c r="E23" s="83">
        <v>3</v>
      </c>
    </row>
    <row r="24" spans="2:12" x14ac:dyDescent="0.25">
      <c r="B24" s="59" t="s">
        <v>117</v>
      </c>
      <c r="C24" s="83">
        <v>34</v>
      </c>
      <c r="D24" s="83">
        <v>102</v>
      </c>
      <c r="E24" s="83">
        <v>136</v>
      </c>
    </row>
    <row r="25" spans="2:12" x14ac:dyDescent="0.25">
      <c r="B25" s="68" t="s">
        <v>118</v>
      </c>
      <c r="C25" s="84">
        <v>336</v>
      </c>
      <c r="D25" s="84">
        <v>210</v>
      </c>
      <c r="E25" s="84">
        <v>546</v>
      </c>
      <c r="K25" s="5"/>
    </row>
    <row r="26" spans="2:12" x14ac:dyDescent="0.25">
      <c r="B26" s="66" t="s">
        <v>119</v>
      </c>
      <c r="C26" s="67">
        <v>882</v>
      </c>
      <c r="D26" s="75">
        <v>663</v>
      </c>
      <c r="E26" s="67">
        <v>1545</v>
      </c>
    </row>
    <row r="29" spans="2:12" x14ac:dyDescent="0.25">
      <c r="B29" s="72">
        <v>45322</v>
      </c>
      <c r="C29" s="70" t="s">
        <v>111</v>
      </c>
      <c r="D29" s="70" t="s">
        <v>112</v>
      </c>
      <c r="E29" s="70" t="s">
        <v>113</v>
      </c>
    </row>
    <row r="30" spans="2:12" x14ac:dyDescent="0.25">
      <c r="B30" s="59" t="s">
        <v>114</v>
      </c>
      <c r="C30" s="71"/>
      <c r="D30" s="71"/>
      <c r="E30" s="71"/>
    </row>
    <row r="31" spans="2:12" x14ac:dyDescent="0.25">
      <c r="B31" s="65" t="s">
        <v>115</v>
      </c>
      <c r="C31" s="73">
        <v>0</v>
      </c>
      <c r="D31" s="73">
        <v>1160</v>
      </c>
      <c r="E31" s="61">
        <v>1160</v>
      </c>
    </row>
    <row r="32" spans="2:12" x14ac:dyDescent="0.25">
      <c r="B32" s="65" t="s">
        <v>116</v>
      </c>
      <c r="C32" s="83">
        <v>3</v>
      </c>
      <c r="D32" s="83">
        <v>4</v>
      </c>
      <c r="E32" s="83">
        <v>7</v>
      </c>
    </row>
    <row r="33" spans="2:6" x14ac:dyDescent="0.25">
      <c r="B33" s="59" t="s">
        <v>117</v>
      </c>
      <c r="C33" s="83">
        <v>37</v>
      </c>
      <c r="D33" s="83">
        <v>124</v>
      </c>
      <c r="E33" s="83">
        <v>161</v>
      </c>
      <c r="F33" s="5"/>
    </row>
    <row r="34" spans="2:6" x14ac:dyDescent="0.25">
      <c r="B34" s="68" t="s">
        <v>118</v>
      </c>
      <c r="C34" s="84">
        <v>262</v>
      </c>
      <c r="D34" s="84">
        <v>240</v>
      </c>
      <c r="E34" s="84">
        <v>502</v>
      </c>
    </row>
    <row r="35" spans="2:6" x14ac:dyDescent="0.25">
      <c r="B35" s="66" t="s">
        <v>119</v>
      </c>
      <c r="C35" s="67">
        <v>302</v>
      </c>
      <c r="D35" s="75">
        <v>1528</v>
      </c>
      <c r="E35" s="67">
        <v>1830</v>
      </c>
    </row>
    <row r="40" spans="2:6" x14ac:dyDescent="0.25">
      <c r="D40" s="5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A9FC-1DEC-4579-83F2-C8503C7F9B61}">
  <sheetPr codeName="Sheet11">
    <tabColor theme="3" tint="0.89999084444715716"/>
  </sheetPr>
  <dimension ref="B2:L12"/>
  <sheetViews>
    <sheetView showGridLines="0" zoomScale="80" zoomScaleNormal="80" workbookViewId="0">
      <selection activeCell="B2" sqref="B2"/>
    </sheetView>
  </sheetViews>
  <sheetFormatPr defaultRowHeight="15" x14ac:dyDescent="0.25"/>
  <cols>
    <col min="2" max="2" width="30.5703125" bestFit="1" customWidth="1"/>
  </cols>
  <sheetData>
    <row r="2" spans="2:12" x14ac:dyDescent="0.25">
      <c r="B2" t="s">
        <v>287</v>
      </c>
    </row>
    <row r="4" spans="2:12" x14ac:dyDescent="0.25">
      <c r="B4" s="60"/>
      <c r="C4" s="60"/>
      <c r="D4" s="87" t="s">
        <v>153</v>
      </c>
      <c r="E4" s="60"/>
      <c r="F4" s="60"/>
      <c r="G4" s="60"/>
    </row>
    <row r="5" spans="2:12" x14ac:dyDescent="0.25">
      <c r="B5" s="93" t="s">
        <v>270</v>
      </c>
      <c r="C5" s="93">
        <v>2023</v>
      </c>
      <c r="D5" s="93">
        <v>2024</v>
      </c>
      <c r="E5" s="94">
        <v>2025</v>
      </c>
      <c r="F5" s="94">
        <v>2026</v>
      </c>
      <c r="G5" s="93">
        <v>2027</v>
      </c>
      <c r="H5" s="93">
        <v>2028</v>
      </c>
      <c r="I5" s="93">
        <v>2029</v>
      </c>
      <c r="J5" s="93">
        <v>2030</v>
      </c>
      <c r="K5" s="93">
        <v>2031</v>
      </c>
      <c r="L5" s="93" t="s">
        <v>113</v>
      </c>
    </row>
    <row r="6" spans="2:12" x14ac:dyDescent="0.25">
      <c r="B6" s="105" t="s">
        <v>274</v>
      </c>
      <c r="C6" s="106"/>
      <c r="D6" s="11"/>
      <c r="E6" s="11"/>
      <c r="F6" s="103"/>
      <c r="G6" s="103"/>
      <c r="H6" s="103"/>
      <c r="J6" s="66"/>
      <c r="K6" s="66"/>
      <c r="L6" s="108">
        <f t="shared" ref="L6:L9" si="0">SUM(C6:K6)</f>
        <v>0</v>
      </c>
    </row>
    <row r="7" spans="2:12" x14ac:dyDescent="0.25">
      <c r="B7" s="104">
        <v>44957</v>
      </c>
      <c r="C7" s="104"/>
      <c r="D7" s="59"/>
      <c r="G7" s="59"/>
      <c r="H7" s="59"/>
      <c r="I7" s="66"/>
      <c r="J7" s="66"/>
      <c r="K7" s="66"/>
      <c r="L7" s="97">
        <f t="shared" si="0"/>
        <v>0</v>
      </c>
    </row>
    <row r="8" spans="2:12" x14ac:dyDescent="0.25">
      <c r="B8" s="104">
        <v>45322</v>
      </c>
      <c r="C8" s="104"/>
      <c r="D8" s="2"/>
      <c r="E8" s="11">
        <v>37</v>
      </c>
      <c r="F8" s="11">
        <v>33</v>
      </c>
      <c r="G8" s="11">
        <v>33</v>
      </c>
      <c r="H8" s="11">
        <v>33</v>
      </c>
      <c r="I8" s="11">
        <v>25</v>
      </c>
      <c r="J8" s="11"/>
      <c r="K8" s="11"/>
      <c r="L8" s="97">
        <f t="shared" si="0"/>
        <v>161</v>
      </c>
    </row>
    <row r="9" spans="2:12" x14ac:dyDescent="0.25">
      <c r="B9" s="101">
        <v>45688</v>
      </c>
      <c r="C9" s="95"/>
      <c r="D9" s="2"/>
      <c r="E9" s="11"/>
      <c r="F9" s="11">
        <v>34</v>
      </c>
      <c r="G9" s="11">
        <v>36</v>
      </c>
      <c r="H9" s="11">
        <v>36</v>
      </c>
      <c r="I9" s="11">
        <v>28</v>
      </c>
      <c r="J9" s="11">
        <v>2</v>
      </c>
      <c r="K9" s="11"/>
      <c r="L9" s="97">
        <f t="shared" si="0"/>
        <v>136</v>
      </c>
    </row>
    <row r="10" spans="2:12" x14ac:dyDescent="0.25">
      <c r="B10" s="102">
        <v>46053</v>
      </c>
      <c r="C10" s="95"/>
      <c r="D10" s="2"/>
      <c r="E10" s="11"/>
      <c r="F10" s="11"/>
      <c r="G10" s="11">
        <v>36</v>
      </c>
      <c r="H10" s="11">
        <v>39</v>
      </c>
      <c r="I10" s="11">
        <v>31</v>
      </c>
      <c r="J10" s="11">
        <v>4</v>
      </c>
      <c r="K10" s="11">
        <v>2</v>
      </c>
      <c r="L10" s="98">
        <f>SUM(C10:K10)</f>
        <v>112</v>
      </c>
    </row>
    <row r="11" spans="2:12" x14ac:dyDescent="0.25">
      <c r="B11" s="99" t="s">
        <v>271</v>
      </c>
      <c r="C11" s="107" cm="1">
        <f t="array" ref="C11">INDEX(_xlfn._xlws.SORT(C6:C10,,-1,),1)</f>
        <v>0</v>
      </c>
      <c r="D11" s="107" cm="1">
        <f t="array" ref="D11">INDEX(_xlfn._xlws.SORT(D6:D10,,-1,),1)</f>
        <v>0</v>
      </c>
      <c r="E11" s="107" cm="1">
        <f t="array" ref="E11">INDEX(_xlfn._xlws.SORT(E6:E10,,-1,),1)</f>
        <v>37</v>
      </c>
      <c r="F11" s="107" cm="1">
        <f t="array" ref="F11">INDEX(_xlfn._xlws.SORT(F6:F10,,-1,),1)</f>
        <v>34</v>
      </c>
      <c r="G11" s="107" cm="1">
        <f t="array" ref="G11">INDEX(_xlfn._xlws.SORT(G6:G10,,-1,),1)</f>
        <v>36</v>
      </c>
      <c r="H11" s="107" cm="1">
        <f t="array" ref="H11">INDEX(_xlfn._xlws.SORT(H6:H10,,-1,),1)</f>
        <v>39</v>
      </c>
      <c r="I11" s="107" cm="1">
        <f t="array" ref="I11">INDEX(_xlfn._xlws.SORT(I6:I10,,-1,),1)</f>
        <v>31</v>
      </c>
      <c r="J11" s="107" cm="1">
        <f t="array" ref="J11">INDEX(_xlfn._xlws.SORT(J6:J10,,-1,),1)</f>
        <v>4</v>
      </c>
      <c r="K11" s="107" cm="1">
        <f t="array" ref="K11">INDEX(_xlfn._xlws.SORT(K6:K10,,-1,),1)</f>
        <v>2</v>
      </c>
      <c r="L11" s="100"/>
    </row>
    <row r="12" spans="2:12" x14ac:dyDescent="0.25">
      <c r="B12" s="2" t="s">
        <v>273</v>
      </c>
      <c r="C12" s="2"/>
      <c r="E12">
        <f>E11-D11</f>
        <v>37</v>
      </c>
      <c r="F12">
        <f t="shared" ref="F12:K12" si="1">F11-E11</f>
        <v>-3</v>
      </c>
      <c r="G12">
        <f t="shared" si="1"/>
        <v>2</v>
      </c>
      <c r="H12">
        <f t="shared" si="1"/>
        <v>3</v>
      </c>
      <c r="I12">
        <f t="shared" si="1"/>
        <v>-8</v>
      </c>
      <c r="J12">
        <f t="shared" si="1"/>
        <v>-27</v>
      </c>
      <c r="K12">
        <f t="shared" si="1"/>
        <v>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A8482-AE7E-4740-BBB6-8866BB603C42}">
  <sheetPr codeName="Sheet12">
    <tabColor theme="9" tint="0.79998168889431442"/>
  </sheetPr>
  <dimension ref="B2:F37"/>
  <sheetViews>
    <sheetView zoomScale="80" zoomScaleNormal="80" workbookViewId="0">
      <selection activeCell="C25" sqref="C24:C25"/>
    </sheetView>
  </sheetViews>
  <sheetFormatPr defaultRowHeight="15" x14ac:dyDescent="0.25"/>
  <cols>
    <col min="1" max="1" width="2.7109375" customWidth="1"/>
    <col min="2" max="2" width="55.85546875" bestFit="1" customWidth="1"/>
    <col min="3" max="6" width="8.85546875" bestFit="1" customWidth="1"/>
  </cols>
  <sheetData>
    <row r="2" spans="2:6" x14ac:dyDescent="0.25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 x14ac:dyDescent="0.25">
      <c r="B3" s="59" t="s">
        <v>69</v>
      </c>
      <c r="C3" s="60"/>
      <c r="D3" s="60"/>
      <c r="E3" s="60"/>
      <c r="F3" s="60"/>
    </row>
    <row r="4" spans="2:6" x14ac:dyDescent="0.25">
      <c r="B4" s="65" t="s">
        <v>128</v>
      </c>
      <c r="C4" s="61">
        <v>1794</v>
      </c>
      <c r="D4" s="61">
        <v>2205</v>
      </c>
      <c r="E4" s="61">
        <v>2556</v>
      </c>
      <c r="F4" s="61">
        <v>2855</v>
      </c>
    </row>
    <row r="5" spans="2:6" x14ac:dyDescent="0.25">
      <c r="B5" s="65" t="s">
        <v>129</v>
      </c>
      <c r="C5" s="63">
        <v>64</v>
      </c>
      <c r="D5" s="63">
        <v>58</v>
      </c>
      <c r="E5" s="63">
        <v>54</v>
      </c>
      <c r="F5" s="63">
        <v>64</v>
      </c>
    </row>
    <row r="6" spans="2:6" x14ac:dyDescent="0.25">
      <c r="B6" s="59" t="s">
        <v>130</v>
      </c>
      <c r="C6" s="63">
        <v>1858</v>
      </c>
      <c r="D6" s="63">
        <v>2263</v>
      </c>
      <c r="E6" s="63">
        <v>2610</v>
      </c>
      <c r="F6" s="63">
        <v>2919</v>
      </c>
    </row>
    <row r="7" spans="2:6" x14ac:dyDescent="0.25">
      <c r="B7" s="59"/>
      <c r="C7" s="63"/>
      <c r="D7" s="63"/>
      <c r="E7" s="63"/>
      <c r="F7" s="60"/>
    </row>
    <row r="8" spans="2:6" x14ac:dyDescent="0.25">
      <c r="B8" s="59" t="s">
        <v>131</v>
      </c>
      <c r="C8" s="60"/>
      <c r="D8" s="60"/>
      <c r="E8" s="60"/>
      <c r="F8" s="60"/>
    </row>
    <row r="9" spans="2:6" x14ac:dyDescent="0.25">
      <c r="B9" s="65" t="s">
        <v>128</v>
      </c>
      <c r="C9" s="63">
        <v>464</v>
      </c>
      <c r="D9" s="63">
        <v>502</v>
      </c>
      <c r="E9" s="63">
        <v>549</v>
      </c>
      <c r="F9" s="63">
        <v>578</v>
      </c>
    </row>
    <row r="10" spans="2:6" x14ac:dyDescent="0.25">
      <c r="B10" s="65" t="s">
        <v>129</v>
      </c>
      <c r="C10" s="63">
        <v>82</v>
      </c>
      <c r="D10" s="63">
        <v>79</v>
      </c>
      <c r="E10" s="63">
        <v>69</v>
      </c>
      <c r="F10" s="63">
        <v>83</v>
      </c>
    </row>
    <row r="11" spans="2:6" x14ac:dyDescent="0.25">
      <c r="B11" s="59" t="s">
        <v>132</v>
      </c>
      <c r="C11" s="63">
        <v>546</v>
      </c>
      <c r="D11" s="63">
        <v>581</v>
      </c>
      <c r="E11" s="63">
        <v>618</v>
      </c>
      <c r="F11" s="63">
        <v>661</v>
      </c>
    </row>
    <row r="12" spans="2:6" x14ac:dyDescent="0.25">
      <c r="B12" s="59"/>
      <c r="C12" s="63"/>
      <c r="D12" s="63"/>
      <c r="E12" s="63"/>
      <c r="F12" s="60"/>
    </row>
    <row r="13" spans="2:6" x14ac:dyDescent="0.25">
      <c r="B13" s="59" t="s">
        <v>133</v>
      </c>
      <c r="C13" s="63">
        <v>1312</v>
      </c>
      <c r="D13" s="63">
        <v>1682</v>
      </c>
      <c r="E13" s="63">
        <v>1992</v>
      </c>
      <c r="F13" s="63">
        <v>2258</v>
      </c>
    </row>
    <row r="14" spans="2:6" x14ac:dyDescent="0.25">
      <c r="B14" s="59"/>
      <c r="C14" s="63"/>
      <c r="D14" s="63"/>
      <c r="E14" s="63"/>
      <c r="F14" s="60"/>
    </row>
    <row r="15" spans="2:6" x14ac:dyDescent="0.25">
      <c r="B15" s="86" t="s">
        <v>134</v>
      </c>
      <c r="C15" s="60"/>
      <c r="D15" s="60"/>
      <c r="E15" s="60"/>
      <c r="F15" s="60"/>
    </row>
    <row r="16" spans="2:6" x14ac:dyDescent="0.25">
      <c r="B16" s="65" t="s">
        <v>135</v>
      </c>
      <c r="C16" s="63">
        <v>620</v>
      </c>
      <c r="D16" s="63">
        <v>656</v>
      </c>
      <c r="E16" s="63">
        <v>642</v>
      </c>
      <c r="F16" s="63">
        <v>639</v>
      </c>
    </row>
    <row r="17" spans="2:6" x14ac:dyDescent="0.25">
      <c r="B17" s="65" t="s">
        <v>136</v>
      </c>
      <c r="C17" s="63">
        <v>1066</v>
      </c>
      <c r="D17" s="63">
        <v>1036</v>
      </c>
      <c r="E17" s="63">
        <v>965</v>
      </c>
      <c r="F17" s="63">
        <v>1018</v>
      </c>
    </row>
    <row r="18" spans="2:6" x14ac:dyDescent="0.25">
      <c r="B18" s="65" t="s">
        <v>137</v>
      </c>
      <c r="C18" s="63">
        <v>409</v>
      </c>
      <c r="D18" s="63">
        <v>450</v>
      </c>
      <c r="E18" s="63">
        <v>448</v>
      </c>
      <c r="F18" s="63">
        <v>448</v>
      </c>
    </row>
    <row r="19" spans="2:6" x14ac:dyDescent="0.25">
      <c r="B19" s="65" t="s">
        <v>138</v>
      </c>
      <c r="C19" s="63">
        <v>29</v>
      </c>
      <c r="D19" s="63">
        <v>56</v>
      </c>
      <c r="E19" s="63">
        <v>11</v>
      </c>
      <c r="F19" s="63">
        <v>4</v>
      </c>
    </row>
    <row r="20" spans="2:6" x14ac:dyDescent="0.25">
      <c r="B20" s="59" t="s">
        <v>139</v>
      </c>
      <c r="C20" s="63">
        <v>2124</v>
      </c>
      <c r="D20" s="63">
        <v>2198</v>
      </c>
      <c r="E20" s="63">
        <v>2066</v>
      </c>
      <c r="F20" s="63">
        <v>2109</v>
      </c>
    </row>
    <row r="21" spans="2:6" x14ac:dyDescent="0.25">
      <c r="B21" s="59"/>
      <c r="C21" s="63"/>
      <c r="D21" s="63"/>
      <c r="E21" s="63"/>
      <c r="F21" s="60"/>
    </row>
    <row r="22" spans="2:6" x14ac:dyDescent="0.25">
      <c r="B22" s="59" t="s">
        <v>140</v>
      </c>
      <c r="C22" s="63">
        <v>-812</v>
      </c>
      <c r="D22" s="63">
        <v>-516</v>
      </c>
      <c r="E22" s="63">
        <v>-74</v>
      </c>
      <c r="F22" s="63">
        <v>149</v>
      </c>
    </row>
    <row r="23" spans="2:6" x14ac:dyDescent="0.25">
      <c r="B23" s="59" t="s">
        <v>141</v>
      </c>
      <c r="C23" s="63">
        <v>-11</v>
      </c>
      <c r="D23" s="63">
        <v>-8</v>
      </c>
      <c r="E23" s="63">
        <v>-5</v>
      </c>
      <c r="F23" s="63">
        <v>-4</v>
      </c>
    </row>
    <row r="24" spans="2:6" x14ac:dyDescent="0.25">
      <c r="B24" s="59" t="s">
        <v>142</v>
      </c>
      <c r="C24" s="63">
        <v>22</v>
      </c>
      <c r="D24" s="63">
        <v>81</v>
      </c>
      <c r="E24" s="63">
        <v>106</v>
      </c>
      <c r="F24" s="63">
        <v>110</v>
      </c>
    </row>
    <row r="25" spans="2:6" x14ac:dyDescent="0.25">
      <c r="B25" s="59" t="s">
        <v>143</v>
      </c>
      <c r="C25" s="64">
        <v>0</v>
      </c>
      <c r="D25" s="63">
        <v>106</v>
      </c>
      <c r="E25" s="63">
        <v>19</v>
      </c>
      <c r="F25" s="64">
        <v>0</v>
      </c>
    </row>
    <row r="26" spans="2:6" x14ac:dyDescent="0.25">
      <c r="B26" s="59" t="s">
        <v>144</v>
      </c>
      <c r="C26" s="63">
        <v>11</v>
      </c>
      <c r="D26" s="63">
        <v>179</v>
      </c>
      <c r="E26" s="63">
        <v>120</v>
      </c>
      <c r="F26" s="63">
        <v>106</v>
      </c>
    </row>
    <row r="27" spans="2:6" x14ac:dyDescent="0.25">
      <c r="B27" s="59" t="s">
        <v>145</v>
      </c>
      <c r="C27" s="63">
        <v>-801</v>
      </c>
      <c r="D27" s="63">
        <v>-337</v>
      </c>
      <c r="E27" s="63">
        <v>46</v>
      </c>
      <c r="F27" s="63">
        <v>255</v>
      </c>
    </row>
    <row r="28" spans="2:6" x14ac:dyDescent="0.25">
      <c r="B28" s="59" t="s">
        <v>146</v>
      </c>
      <c r="C28" s="63">
        <v>14</v>
      </c>
      <c r="D28" s="63">
        <v>18</v>
      </c>
      <c r="E28" s="63">
        <v>18</v>
      </c>
      <c r="F28" s="63">
        <v>20</v>
      </c>
    </row>
    <row r="29" spans="2:6" x14ac:dyDescent="0.25">
      <c r="B29" s="59" t="s">
        <v>147</v>
      </c>
      <c r="C29" s="61">
        <v>-815</v>
      </c>
      <c r="D29" s="61">
        <v>-355</v>
      </c>
      <c r="E29" s="61">
        <v>28</v>
      </c>
      <c r="F29" s="61">
        <v>235</v>
      </c>
    </row>
    <row r="30" spans="2:6" x14ac:dyDescent="0.25">
      <c r="B30" s="60"/>
      <c r="C30" s="60"/>
      <c r="D30" s="60"/>
      <c r="E30" s="60"/>
      <c r="F30" s="60"/>
    </row>
    <row r="31" spans="2:6" x14ac:dyDescent="0.25">
      <c r="B31" s="59" t="s">
        <v>148</v>
      </c>
      <c r="C31" s="62">
        <v>-5.16</v>
      </c>
      <c r="D31" s="62">
        <v>-2.17</v>
      </c>
      <c r="E31" s="62">
        <v>0.16</v>
      </c>
      <c r="F31" s="62">
        <v>1.33</v>
      </c>
    </row>
    <row r="32" spans="2:6" x14ac:dyDescent="0.25">
      <c r="B32" s="59" t="s">
        <v>149</v>
      </c>
      <c r="C32" s="62">
        <v>-5.16</v>
      </c>
      <c r="D32" s="62">
        <v>-2.17</v>
      </c>
      <c r="E32" s="62">
        <v>0.06</v>
      </c>
      <c r="F32" s="62">
        <v>1.31</v>
      </c>
    </row>
    <row r="33" spans="2:6" x14ac:dyDescent="0.25">
      <c r="B33" s="60"/>
      <c r="C33" s="60"/>
      <c r="D33" s="60"/>
      <c r="E33" s="60"/>
      <c r="F33" s="60"/>
    </row>
    <row r="34" spans="2:6" x14ac:dyDescent="0.25">
      <c r="B34" s="59" t="s">
        <v>150</v>
      </c>
      <c r="C34" s="60"/>
      <c r="D34" s="60"/>
      <c r="E34" s="60"/>
      <c r="F34" s="60"/>
    </row>
    <row r="35" spans="2:6" x14ac:dyDescent="0.25">
      <c r="B35" s="59" t="s">
        <v>151</v>
      </c>
      <c r="C35" s="63">
        <v>158023</v>
      </c>
      <c r="D35" s="63">
        <v>163634</v>
      </c>
      <c r="E35" s="63">
        <v>169569</v>
      </c>
      <c r="F35" s="63">
        <v>175882</v>
      </c>
    </row>
    <row r="36" spans="2:6" x14ac:dyDescent="0.25">
      <c r="B36" s="59" t="s">
        <v>150</v>
      </c>
      <c r="C36" s="60"/>
      <c r="D36" s="60"/>
      <c r="E36" s="60"/>
      <c r="F36" s="60"/>
    </row>
    <row r="37" spans="2:6" x14ac:dyDescent="0.25">
      <c r="B37" s="59" t="s">
        <v>152</v>
      </c>
      <c r="C37" s="63">
        <v>158023</v>
      </c>
      <c r="D37" s="63">
        <v>163634</v>
      </c>
      <c r="E37" s="63">
        <v>175086</v>
      </c>
      <c r="F37" s="63">
        <v>179290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8DDB6-6544-4FD3-9A12-501CACF7739A}">
  <sheetPr codeName="Sheet13">
    <tabColor theme="9" tint="0.79998168889431442"/>
  </sheetPr>
  <dimension ref="B2:F50"/>
  <sheetViews>
    <sheetView zoomScale="80" zoomScaleNormal="80" workbookViewId="0">
      <selection activeCell="C25" sqref="C24:C25"/>
    </sheetView>
  </sheetViews>
  <sheetFormatPr defaultRowHeight="15" x14ac:dyDescent="0.25"/>
  <cols>
    <col min="1" max="1" width="2.7109375" customWidth="1"/>
    <col min="2" max="2" width="67.140625" bestFit="1" customWidth="1"/>
    <col min="3" max="6" width="8.7109375" customWidth="1"/>
  </cols>
  <sheetData>
    <row r="2" spans="2:6" x14ac:dyDescent="0.25">
      <c r="B2" s="87" t="s">
        <v>155</v>
      </c>
      <c r="C2" s="87">
        <v>2023</v>
      </c>
      <c r="D2" s="66">
        <v>2024</v>
      </c>
      <c r="E2" s="66">
        <v>2025</v>
      </c>
      <c r="F2" s="66">
        <v>2026</v>
      </c>
    </row>
    <row r="3" spans="2:6" x14ac:dyDescent="0.25">
      <c r="B3" s="59" t="s">
        <v>106</v>
      </c>
      <c r="C3" s="59"/>
      <c r="D3" s="60"/>
      <c r="E3" s="60"/>
      <c r="F3" s="60"/>
    </row>
    <row r="4" spans="2:6" x14ac:dyDescent="0.25">
      <c r="B4" s="59" t="s">
        <v>156</v>
      </c>
      <c r="C4" s="59"/>
      <c r="D4" s="60"/>
      <c r="E4" s="60"/>
      <c r="F4" s="60"/>
    </row>
    <row r="5" spans="2:6" x14ac:dyDescent="0.25">
      <c r="B5" s="65" t="s">
        <v>157</v>
      </c>
      <c r="C5" s="65"/>
      <c r="D5" s="61">
        <v>334</v>
      </c>
      <c r="E5" s="61">
        <v>409</v>
      </c>
      <c r="F5" s="61">
        <v>858</v>
      </c>
    </row>
    <row r="6" spans="2:6" x14ac:dyDescent="0.25">
      <c r="B6" s="65" t="s">
        <v>158</v>
      </c>
      <c r="C6" s="65"/>
      <c r="D6" s="63">
        <v>1868</v>
      </c>
      <c r="E6" s="63">
        <v>2114</v>
      </c>
      <c r="F6" s="63">
        <v>1695</v>
      </c>
    </row>
    <row r="7" spans="2:6" x14ac:dyDescent="0.25">
      <c r="B7" s="65" t="s">
        <v>159</v>
      </c>
      <c r="C7" s="65"/>
      <c r="D7" s="63">
        <v>559</v>
      </c>
      <c r="E7" s="63">
        <v>621</v>
      </c>
      <c r="F7" s="63">
        <v>687</v>
      </c>
    </row>
    <row r="8" spans="2:6" x14ac:dyDescent="0.25">
      <c r="B8" s="65" t="s">
        <v>160</v>
      </c>
      <c r="C8" s="65"/>
      <c r="D8" s="63">
        <v>113</v>
      </c>
      <c r="E8" s="63">
        <v>140</v>
      </c>
      <c r="F8" s="63">
        <v>171</v>
      </c>
    </row>
    <row r="9" spans="2:6" x14ac:dyDescent="0.25">
      <c r="B9" s="65" t="s">
        <v>161</v>
      </c>
      <c r="C9" s="65"/>
      <c r="D9" s="63">
        <v>106</v>
      </c>
      <c r="E9" s="63">
        <v>132</v>
      </c>
      <c r="F9" s="63">
        <v>233</v>
      </c>
    </row>
    <row r="10" spans="2:6" x14ac:dyDescent="0.25">
      <c r="B10" s="86" t="s">
        <v>162</v>
      </c>
      <c r="C10" s="86"/>
      <c r="D10" s="63">
        <v>2980</v>
      </c>
      <c r="E10" s="63">
        <v>3416</v>
      </c>
      <c r="F10" s="63">
        <v>3644</v>
      </c>
    </row>
    <row r="11" spans="2:6" x14ac:dyDescent="0.25">
      <c r="B11" s="65"/>
      <c r="C11" s="65"/>
      <c r="D11" s="63"/>
      <c r="E11" s="63"/>
      <c r="F11" s="60"/>
    </row>
    <row r="12" spans="2:6" x14ac:dyDescent="0.25">
      <c r="B12" s="65" t="s">
        <v>163</v>
      </c>
      <c r="C12" s="65"/>
      <c r="D12" s="63">
        <v>48</v>
      </c>
      <c r="E12" s="63">
        <v>43</v>
      </c>
      <c r="F12" s="88">
        <v>38</v>
      </c>
    </row>
    <row r="13" spans="2:6" x14ac:dyDescent="0.25">
      <c r="B13" s="65" t="s">
        <v>164</v>
      </c>
      <c r="C13" s="65"/>
      <c r="D13" s="63">
        <v>83</v>
      </c>
      <c r="E13" s="63">
        <v>74</v>
      </c>
      <c r="F13" s="63">
        <v>65</v>
      </c>
    </row>
    <row r="14" spans="2:6" x14ac:dyDescent="0.25">
      <c r="B14" s="65" t="s">
        <v>165</v>
      </c>
      <c r="C14" s="65"/>
      <c r="D14" s="63">
        <v>242</v>
      </c>
      <c r="E14" s="63">
        <v>267</v>
      </c>
      <c r="F14" s="63">
        <v>332</v>
      </c>
    </row>
    <row r="15" spans="2:6" x14ac:dyDescent="0.25">
      <c r="B15" s="65" t="s">
        <v>166</v>
      </c>
      <c r="C15" s="65"/>
      <c r="D15" s="63">
        <v>182</v>
      </c>
      <c r="E15" s="63">
        <v>138</v>
      </c>
      <c r="F15" s="88">
        <v>91</v>
      </c>
    </row>
    <row r="16" spans="2:6" x14ac:dyDescent="0.25">
      <c r="B16" s="65" t="s">
        <v>167</v>
      </c>
      <c r="C16" s="65"/>
      <c r="D16" s="63">
        <v>5406</v>
      </c>
      <c r="E16" s="63">
        <v>5448</v>
      </c>
      <c r="F16" s="63">
        <v>5487</v>
      </c>
    </row>
    <row r="17" spans="2:6" x14ac:dyDescent="0.25">
      <c r="B17" s="65" t="s">
        <v>168</v>
      </c>
      <c r="C17" s="65"/>
      <c r="D17" s="63">
        <v>48</v>
      </c>
      <c r="E17" s="63">
        <v>51</v>
      </c>
      <c r="F17" s="88">
        <v>53</v>
      </c>
    </row>
    <row r="18" spans="2:6" x14ac:dyDescent="0.25">
      <c r="B18" s="59" t="s">
        <v>169</v>
      </c>
      <c r="C18" s="59"/>
      <c r="D18" s="61">
        <v>8989</v>
      </c>
      <c r="E18" s="61">
        <v>9437</v>
      </c>
      <c r="F18" s="61">
        <v>9710</v>
      </c>
    </row>
    <row r="19" spans="2:6" x14ac:dyDescent="0.25">
      <c r="B19" s="59"/>
      <c r="C19" s="59"/>
      <c r="D19" s="61"/>
      <c r="E19" s="61"/>
      <c r="F19" s="60"/>
    </row>
    <row r="20" spans="2:6" x14ac:dyDescent="0.25">
      <c r="B20" s="59" t="s">
        <v>170</v>
      </c>
      <c r="C20" s="59"/>
      <c r="D20" s="60"/>
      <c r="E20" s="60"/>
      <c r="F20" s="60"/>
    </row>
    <row r="21" spans="2:6" x14ac:dyDescent="0.25">
      <c r="B21" s="59" t="s">
        <v>171</v>
      </c>
      <c r="C21" s="59"/>
      <c r="D21" s="60"/>
      <c r="E21" s="60"/>
      <c r="F21" s="60"/>
    </row>
    <row r="22" spans="2:6" x14ac:dyDescent="0.25">
      <c r="B22" s="65" t="s">
        <v>172</v>
      </c>
      <c r="C22" s="65"/>
      <c r="D22" s="61">
        <v>12</v>
      </c>
      <c r="E22" s="61">
        <v>13</v>
      </c>
      <c r="F22" s="61">
        <v>12</v>
      </c>
    </row>
    <row r="23" spans="2:6" x14ac:dyDescent="0.25">
      <c r="B23" s="65" t="s">
        <v>173</v>
      </c>
      <c r="C23" s="65"/>
      <c r="D23" s="63">
        <v>115</v>
      </c>
      <c r="E23" s="63">
        <v>103</v>
      </c>
      <c r="F23" s="63">
        <v>104</v>
      </c>
    </row>
    <row r="24" spans="2:6" x14ac:dyDescent="0.25">
      <c r="B24" s="65" t="s">
        <v>174</v>
      </c>
      <c r="C24" s="65"/>
      <c r="D24" s="63">
        <v>167</v>
      </c>
      <c r="E24" s="63">
        <v>207</v>
      </c>
      <c r="F24" s="63">
        <v>213</v>
      </c>
    </row>
    <row r="25" spans="2:6" x14ac:dyDescent="0.25">
      <c r="B25" s="65" t="s">
        <v>175</v>
      </c>
      <c r="C25" s="65"/>
      <c r="D25" s="64">
        <v>0</v>
      </c>
      <c r="E25" s="63">
        <v>509</v>
      </c>
      <c r="F25" s="63">
        <v>350</v>
      </c>
    </row>
    <row r="26" spans="2:6" x14ac:dyDescent="0.25">
      <c r="B26" s="65" t="s">
        <v>176</v>
      </c>
      <c r="C26" s="65"/>
      <c r="D26" s="63">
        <v>1488</v>
      </c>
      <c r="E26" s="63">
        <v>1691</v>
      </c>
      <c r="F26" s="63">
        <v>1875</v>
      </c>
    </row>
    <row r="27" spans="2:6" x14ac:dyDescent="0.25">
      <c r="B27" s="86" t="s">
        <v>177</v>
      </c>
      <c r="C27" s="86"/>
      <c r="D27" s="63">
        <v>1782</v>
      </c>
      <c r="E27" s="63">
        <v>2523</v>
      </c>
      <c r="F27" s="63">
        <v>2554</v>
      </c>
    </row>
    <row r="28" spans="2:6" x14ac:dyDescent="0.25">
      <c r="B28" s="86"/>
      <c r="C28" s="86"/>
      <c r="D28" s="63"/>
      <c r="E28" s="63"/>
      <c r="F28" s="60"/>
    </row>
    <row r="29" spans="2:6" x14ac:dyDescent="0.25">
      <c r="B29" s="65" t="s">
        <v>178</v>
      </c>
      <c r="C29" s="65"/>
      <c r="D29" s="63">
        <v>1154</v>
      </c>
      <c r="E29" s="63">
        <v>349</v>
      </c>
      <c r="F29" s="64">
        <v>0</v>
      </c>
    </row>
    <row r="30" spans="2:6" x14ac:dyDescent="0.25">
      <c r="B30" s="65" t="s">
        <v>179</v>
      </c>
      <c r="C30" s="65"/>
      <c r="D30" s="63">
        <v>112</v>
      </c>
      <c r="E30" s="63">
        <v>94</v>
      </c>
      <c r="F30" s="63">
        <v>72</v>
      </c>
    </row>
    <row r="31" spans="2:6" x14ac:dyDescent="0.25">
      <c r="B31" s="65" t="s">
        <v>180</v>
      </c>
      <c r="C31" s="65"/>
      <c r="D31" s="63">
        <v>23</v>
      </c>
      <c r="E31" s="63">
        <v>27</v>
      </c>
      <c r="F31" s="63">
        <v>30</v>
      </c>
    </row>
    <row r="32" spans="2:6" x14ac:dyDescent="0.25">
      <c r="B32" s="65" t="s">
        <v>181</v>
      </c>
      <c r="C32" s="65"/>
      <c r="D32" s="63">
        <v>30</v>
      </c>
      <c r="E32" s="63">
        <v>39</v>
      </c>
      <c r="F32" s="63">
        <v>55</v>
      </c>
    </row>
    <row r="33" spans="2:6" x14ac:dyDescent="0.25">
      <c r="B33" s="59" t="s">
        <v>182</v>
      </c>
      <c r="C33" s="59"/>
      <c r="D33" s="63">
        <v>3101</v>
      </c>
      <c r="E33" s="63">
        <v>3032</v>
      </c>
      <c r="F33" s="63">
        <v>2711</v>
      </c>
    </row>
    <row r="34" spans="2:6" x14ac:dyDescent="0.25">
      <c r="B34" s="59"/>
      <c r="C34" s="59"/>
      <c r="D34" s="63"/>
      <c r="E34" s="63"/>
      <c r="F34" s="60"/>
    </row>
    <row r="35" spans="2:6" x14ac:dyDescent="0.25">
      <c r="B35" s="59" t="s">
        <v>183</v>
      </c>
      <c r="C35" s="59"/>
      <c r="D35" s="60"/>
      <c r="E35" s="60"/>
      <c r="F35" s="64">
        <v>0</v>
      </c>
    </row>
    <row r="36" spans="2:6" x14ac:dyDescent="0.25">
      <c r="B36" s="59" t="s">
        <v>184</v>
      </c>
      <c r="C36" s="59"/>
      <c r="D36" s="60"/>
      <c r="E36" s="60"/>
      <c r="F36" s="60"/>
    </row>
    <row r="37" spans="2:6" x14ac:dyDescent="0.25">
      <c r="B37" s="59" t="s">
        <v>185</v>
      </c>
      <c r="C37" s="59"/>
      <c r="D37" s="60"/>
      <c r="E37" s="60"/>
      <c r="F37" s="60"/>
    </row>
    <row r="38" spans="2:6" x14ac:dyDescent="0.25">
      <c r="B38" s="59" t="s">
        <v>186</v>
      </c>
      <c r="C38" s="59"/>
      <c r="D38" s="60"/>
      <c r="E38" s="60"/>
      <c r="F38" s="60"/>
    </row>
    <row r="39" spans="2:6" x14ac:dyDescent="0.25">
      <c r="B39" s="59" t="s">
        <v>187</v>
      </c>
      <c r="C39" s="59"/>
      <c r="D39" s="64">
        <v>0</v>
      </c>
      <c r="E39" s="64">
        <v>0</v>
      </c>
      <c r="F39" s="64">
        <v>0</v>
      </c>
    </row>
    <row r="40" spans="2:6" x14ac:dyDescent="0.25">
      <c r="B40" s="59" t="s">
        <v>188</v>
      </c>
      <c r="C40" s="59"/>
      <c r="D40" s="60"/>
      <c r="E40" s="60"/>
      <c r="F40" s="60"/>
    </row>
    <row r="41" spans="2:6" x14ac:dyDescent="0.25">
      <c r="B41" s="59" t="s">
        <v>189</v>
      </c>
      <c r="C41" s="59"/>
      <c r="D41" s="60"/>
      <c r="E41" s="60"/>
      <c r="F41" s="60"/>
    </row>
    <row r="42" spans="2:6" x14ac:dyDescent="0.25">
      <c r="B42" s="59" t="s">
        <v>190</v>
      </c>
      <c r="C42" s="59"/>
      <c r="D42" s="64">
        <v>0</v>
      </c>
      <c r="E42" s="64">
        <v>0</v>
      </c>
      <c r="F42" s="64">
        <v>0</v>
      </c>
    </row>
    <row r="43" spans="2:6" x14ac:dyDescent="0.25">
      <c r="B43" s="59" t="s">
        <v>191</v>
      </c>
      <c r="C43" s="59"/>
      <c r="D43" s="60"/>
      <c r="E43" s="60"/>
      <c r="F43" s="60"/>
    </row>
    <row r="44" spans="2:6" x14ac:dyDescent="0.25">
      <c r="B44" s="59" t="s">
        <v>192</v>
      </c>
      <c r="C44" s="59"/>
      <c r="D44" s="60"/>
      <c r="E44" s="60"/>
      <c r="F44" s="60"/>
    </row>
    <row r="45" spans="2:6" x14ac:dyDescent="0.25">
      <c r="B45" s="59" t="s">
        <v>193</v>
      </c>
      <c r="C45" s="59"/>
      <c r="D45" s="64">
        <v>0</v>
      </c>
      <c r="E45" s="64">
        <v>0</v>
      </c>
      <c r="F45" s="60"/>
    </row>
    <row r="46" spans="2:6" x14ac:dyDescent="0.25">
      <c r="B46" s="59" t="s">
        <v>194</v>
      </c>
      <c r="C46" s="59"/>
      <c r="D46" s="63">
        <v>8724</v>
      </c>
      <c r="E46" s="63">
        <v>9219</v>
      </c>
      <c r="F46" s="63">
        <v>9553</v>
      </c>
    </row>
    <row r="47" spans="2:6" x14ac:dyDescent="0.25">
      <c r="B47" s="59" t="s">
        <v>195</v>
      </c>
      <c r="C47" s="59"/>
      <c r="D47" s="63">
        <v>-6</v>
      </c>
      <c r="E47" s="63">
        <v>-12</v>
      </c>
      <c r="F47" s="63">
        <v>13</v>
      </c>
    </row>
    <row r="48" spans="2:6" x14ac:dyDescent="0.25">
      <c r="B48" s="59" t="s">
        <v>196</v>
      </c>
      <c r="C48" s="59"/>
      <c r="D48" s="63">
        <v>-2830</v>
      </c>
      <c r="E48" s="63">
        <v>-2802</v>
      </c>
      <c r="F48" s="63">
        <v>-2567</v>
      </c>
    </row>
    <row r="49" spans="2:6" x14ac:dyDescent="0.25">
      <c r="B49" s="59" t="s">
        <v>197</v>
      </c>
      <c r="C49" s="63">
        <v>5466</v>
      </c>
      <c r="D49" s="63">
        <v>5888</v>
      </c>
      <c r="E49" s="63">
        <v>6405</v>
      </c>
      <c r="F49" s="63">
        <v>6999</v>
      </c>
    </row>
    <row r="50" spans="2:6" x14ac:dyDescent="0.25">
      <c r="B50" s="59" t="s">
        <v>198</v>
      </c>
      <c r="C50" s="59"/>
      <c r="D50" s="61">
        <v>8989</v>
      </c>
      <c r="E50" s="61">
        <v>9437</v>
      </c>
      <c r="F50" s="61">
        <v>9710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C09F1-AFB6-4C2D-906F-D5D923988713}">
  <sheetPr codeName="Sheet14">
    <tabColor theme="9" tint="0.79998168889431442"/>
  </sheetPr>
  <dimension ref="B2:F59"/>
  <sheetViews>
    <sheetView zoomScale="80" zoomScaleNormal="80" workbookViewId="0">
      <selection activeCell="C25" sqref="C24:C25"/>
    </sheetView>
  </sheetViews>
  <sheetFormatPr defaultRowHeight="15" x14ac:dyDescent="0.25"/>
  <cols>
    <col min="1" max="1" width="2.7109375" customWidth="1"/>
    <col min="2" max="2" width="60.7109375" bestFit="1" customWidth="1"/>
    <col min="3" max="4" width="7.7109375" bestFit="1" customWidth="1"/>
    <col min="5" max="6" width="7.42578125" bestFit="1" customWidth="1"/>
  </cols>
  <sheetData>
    <row r="2" spans="2:6" x14ac:dyDescent="0.25">
      <c r="B2" s="87" t="s">
        <v>153</v>
      </c>
      <c r="C2" s="66">
        <v>2023</v>
      </c>
      <c r="D2" s="66">
        <v>2024</v>
      </c>
      <c r="E2" s="66">
        <v>2025</v>
      </c>
      <c r="F2" s="66">
        <v>2026</v>
      </c>
    </row>
    <row r="3" spans="2:6" x14ac:dyDescent="0.25">
      <c r="B3" s="60"/>
      <c r="C3" s="60"/>
      <c r="D3" s="60"/>
      <c r="E3" s="60"/>
      <c r="F3" s="60"/>
    </row>
    <row r="4" spans="2:6" x14ac:dyDescent="0.25">
      <c r="B4" s="59" t="s">
        <v>199</v>
      </c>
      <c r="C4" s="60"/>
      <c r="D4" s="60"/>
      <c r="E4" s="60"/>
      <c r="F4" s="60"/>
    </row>
    <row r="5" spans="2:6" x14ac:dyDescent="0.25">
      <c r="B5" s="59" t="s">
        <v>147</v>
      </c>
      <c r="C5" s="61">
        <v>-815</v>
      </c>
      <c r="D5" s="61">
        <v>-355</v>
      </c>
      <c r="E5" s="61">
        <v>28</v>
      </c>
      <c r="F5" s="61">
        <v>235</v>
      </c>
    </row>
    <row r="6" spans="2:6" x14ac:dyDescent="0.25">
      <c r="B6" s="59" t="s">
        <v>200</v>
      </c>
      <c r="C6" s="60"/>
      <c r="D6" s="60"/>
      <c r="E6" s="60"/>
      <c r="F6" s="60"/>
    </row>
    <row r="7" spans="2:6" x14ac:dyDescent="0.25">
      <c r="B7" s="59" t="s">
        <v>201</v>
      </c>
      <c r="C7" s="60"/>
      <c r="D7" s="60"/>
      <c r="E7" s="60"/>
      <c r="F7" s="60"/>
    </row>
    <row r="8" spans="2:6" x14ac:dyDescent="0.25">
      <c r="B8" s="59" t="s">
        <v>202</v>
      </c>
      <c r="C8" s="63">
        <v>677</v>
      </c>
      <c r="D8" s="63">
        <v>684</v>
      </c>
      <c r="E8" s="63">
        <v>565</v>
      </c>
      <c r="F8" s="63">
        <v>544</v>
      </c>
    </row>
    <row r="9" spans="2:6" x14ac:dyDescent="0.25">
      <c r="B9" s="59" t="s">
        <v>203</v>
      </c>
      <c r="C9" s="63">
        <v>114</v>
      </c>
      <c r="D9" s="63">
        <v>84</v>
      </c>
      <c r="E9" s="63">
        <v>88</v>
      </c>
      <c r="F9" s="63">
        <v>96</v>
      </c>
    </row>
    <row r="10" spans="2:6" x14ac:dyDescent="0.25">
      <c r="B10" s="60"/>
      <c r="C10" s="60"/>
      <c r="D10" s="60"/>
      <c r="E10" s="60"/>
      <c r="F10" s="60"/>
    </row>
    <row r="11" spans="2:6" x14ac:dyDescent="0.25">
      <c r="B11" s="59" t="s">
        <v>204</v>
      </c>
      <c r="C11" s="63">
        <v>84</v>
      </c>
      <c r="D11" s="63">
        <v>104</v>
      </c>
      <c r="E11" s="63">
        <v>130</v>
      </c>
      <c r="F11" s="63">
        <v>161</v>
      </c>
    </row>
    <row r="12" spans="2:6" x14ac:dyDescent="0.25">
      <c r="B12" s="59" t="s">
        <v>205</v>
      </c>
      <c r="C12" s="63">
        <v>7</v>
      </c>
      <c r="D12" s="63">
        <v>6</v>
      </c>
      <c r="E12" s="63">
        <v>2</v>
      </c>
      <c r="F12" s="63">
        <v>13</v>
      </c>
    </row>
    <row r="13" spans="2:6" x14ac:dyDescent="0.25">
      <c r="B13" s="60"/>
      <c r="C13" s="60"/>
      <c r="D13" s="60"/>
      <c r="E13" s="60"/>
    </row>
    <row r="14" spans="2:6" x14ac:dyDescent="0.25">
      <c r="B14" s="59" t="s">
        <v>206</v>
      </c>
      <c r="C14" s="63">
        <v>14</v>
      </c>
      <c r="D14" s="63">
        <v>28</v>
      </c>
      <c r="E14" s="64">
        <v>0</v>
      </c>
      <c r="F14" s="60"/>
    </row>
    <row r="15" spans="2:6" x14ac:dyDescent="0.25">
      <c r="B15" s="59" t="s">
        <v>143</v>
      </c>
      <c r="C15" s="64">
        <v>0</v>
      </c>
      <c r="D15" s="63">
        <v>-106</v>
      </c>
      <c r="E15" s="63">
        <v>-19</v>
      </c>
      <c r="F15" s="64">
        <v>0</v>
      </c>
    </row>
    <row r="16" spans="2:6" x14ac:dyDescent="0.25">
      <c r="B16" s="60"/>
      <c r="C16" s="60"/>
      <c r="D16" s="60"/>
      <c r="E16" s="60"/>
      <c r="F16" s="60"/>
    </row>
    <row r="17" spans="2:6" x14ac:dyDescent="0.25">
      <c r="B17" s="65" t="s">
        <v>207</v>
      </c>
      <c r="C17" s="63">
        <v>12</v>
      </c>
      <c r="D17" s="63">
        <v>13</v>
      </c>
      <c r="E17" s="63">
        <v>9</v>
      </c>
      <c r="F17" s="63">
        <v>8</v>
      </c>
    </row>
    <row r="18" spans="2:6" x14ac:dyDescent="0.25">
      <c r="B18" s="65" t="s">
        <v>208</v>
      </c>
      <c r="C18" s="60"/>
      <c r="D18" s="60"/>
      <c r="E18" s="60"/>
      <c r="F18" s="60"/>
    </row>
    <row r="19" spans="2:6" x14ac:dyDescent="0.25">
      <c r="B19" s="89" t="s">
        <v>209</v>
      </c>
      <c r="C19" s="63">
        <v>-87</v>
      </c>
      <c r="D19" s="63">
        <v>-79</v>
      </c>
      <c r="E19" s="63">
        <v>-63</v>
      </c>
      <c r="F19" s="63">
        <v>-70</v>
      </c>
    </row>
    <row r="20" spans="2:6" x14ac:dyDescent="0.25">
      <c r="B20" s="89" t="s">
        <v>160</v>
      </c>
      <c r="C20" s="63">
        <v>-122</v>
      </c>
      <c r="D20" s="63">
        <v>-158</v>
      </c>
      <c r="E20" s="63">
        <v>-186</v>
      </c>
      <c r="F20" s="63">
        <v>-245</v>
      </c>
    </row>
    <row r="21" spans="2:6" x14ac:dyDescent="0.25">
      <c r="B21" s="89" t="s">
        <v>210</v>
      </c>
      <c r="C21" s="63">
        <v>-13</v>
      </c>
      <c r="D21" s="63">
        <v>-32</v>
      </c>
      <c r="E21" s="63">
        <v>-37</v>
      </c>
      <c r="F21" s="63">
        <v>-33</v>
      </c>
    </row>
    <row r="22" spans="2:6" x14ac:dyDescent="0.25">
      <c r="B22" s="89" t="s">
        <v>164</v>
      </c>
      <c r="C22" s="63">
        <v>27</v>
      </c>
      <c r="D22" s="63">
        <v>23</v>
      </c>
      <c r="E22" s="63">
        <v>20</v>
      </c>
      <c r="F22" s="63">
        <v>18</v>
      </c>
    </row>
    <row r="23" spans="2:6" x14ac:dyDescent="0.25">
      <c r="B23" s="89" t="s">
        <v>172</v>
      </c>
      <c r="C23" s="63">
        <v>-6</v>
      </c>
      <c r="D23" s="64">
        <v>0</v>
      </c>
      <c r="E23" s="63">
        <v>1</v>
      </c>
      <c r="F23" s="63">
        <v>-2</v>
      </c>
    </row>
    <row r="24" spans="2:6" x14ac:dyDescent="0.25">
      <c r="B24" s="89" t="s">
        <v>174</v>
      </c>
      <c r="C24" s="63">
        <v>-44</v>
      </c>
      <c r="D24" s="63">
        <v>68</v>
      </c>
      <c r="E24" s="63">
        <v>41</v>
      </c>
      <c r="F24" s="63">
        <v>1</v>
      </c>
    </row>
    <row r="25" spans="2:6" x14ac:dyDescent="0.25">
      <c r="B25" s="89" t="s">
        <v>211</v>
      </c>
      <c r="C25" s="63">
        <v>8</v>
      </c>
      <c r="D25" s="63">
        <v>21</v>
      </c>
      <c r="E25" s="63">
        <v>-3</v>
      </c>
      <c r="F25" s="63">
        <v>1</v>
      </c>
    </row>
    <row r="26" spans="2:6" x14ac:dyDescent="0.25">
      <c r="B26" s="89" t="s">
        <v>212</v>
      </c>
      <c r="C26" s="63">
        <v>-34</v>
      </c>
      <c r="D26" s="63">
        <v>-39</v>
      </c>
      <c r="E26" s="63">
        <v>-33</v>
      </c>
      <c r="F26" s="63">
        <v>-30</v>
      </c>
    </row>
    <row r="27" spans="2:6" x14ac:dyDescent="0.25">
      <c r="B27" s="89" t="s">
        <v>176</v>
      </c>
      <c r="C27" s="63">
        <v>264</v>
      </c>
      <c r="D27" s="63">
        <v>250</v>
      </c>
      <c r="E27" s="63">
        <v>207</v>
      </c>
      <c r="F27" s="63">
        <v>187</v>
      </c>
    </row>
    <row r="28" spans="2:6" x14ac:dyDescent="0.25">
      <c r="B28" s="59" t="s">
        <v>213</v>
      </c>
      <c r="C28" s="88">
        <v>86</v>
      </c>
      <c r="D28" s="88">
        <v>512</v>
      </c>
      <c r="E28" s="88">
        <v>750</v>
      </c>
      <c r="F28" s="88">
        <v>884</v>
      </c>
    </row>
    <row r="29" spans="2:6" x14ac:dyDescent="0.25">
      <c r="B29" s="59"/>
      <c r="C29" s="63"/>
      <c r="D29" s="63"/>
      <c r="E29" s="63"/>
      <c r="F29" s="60"/>
    </row>
    <row r="30" spans="2:6" x14ac:dyDescent="0.25">
      <c r="B30" s="59" t="s">
        <v>214</v>
      </c>
      <c r="C30" s="60"/>
      <c r="D30" s="60"/>
      <c r="E30" s="60"/>
      <c r="F30" s="60"/>
    </row>
    <row r="31" spans="2:6" x14ac:dyDescent="0.25">
      <c r="B31" s="65" t="s">
        <v>215</v>
      </c>
      <c r="C31" s="63">
        <v>-9</v>
      </c>
      <c r="D31" s="63">
        <v>-15</v>
      </c>
      <c r="E31" s="63">
        <v>-12</v>
      </c>
      <c r="F31" s="63">
        <v>-12</v>
      </c>
    </row>
    <row r="32" spans="2:6" x14ac:dyDescent="0.25">
      <c r="B32" s="65" t="s">
        <v>216</v>
      </c>
      <c r="C32" s="63">
        <v>-12</v>
      </c>
      <c r="D32" s="63">
        <v>-8</v>
      </c>
      <c r="E32" s="63">
        <v>-8</v>
      </c>
      <c r="F32" s="63">
        <v>-9</v>
      </c>
    </row>
    <row r="33" spans="2:6" x14ac:dyDescent="0.25">
      <c r="B33" s="90"/>
      <c r="C33" s="60"/>
      <c r="D33" s="60"/>
      <c r="E33" s="60"/>
      <c r="F33" s="60"/>
    </row>
    <row r="34" spans="2:6" x14ac:dyDescent="0.25">
      <c r="B34" s="65" t="s">
        <v>217</v>
      </c>
      <c r="C34" s="63">
        <v>-1411</v>
      </c>
      <c r="D34" s="63">
        <v>-1709</v>
      </c>
      <c r="E34" s="63">
        <v>-1812</v>
      </c>
      <c r="F34" s="63">
        <v>-1505</v>
      </c>
    </row>
    <row r="35" spans="2:6" x14ac:dyDescent="0.25">
      <c r="B35" s="65" t="s">
        <v>218</v>
      </c>
      <c r="C35" s="60"/>
      <c r="D35" s="60"/>
      <c r="E35" s="60"/>
      <c r="F35" s="60"/>
    </row>
    <row r="36" spans="2:6" x14ac:dyDescent="0.25">
      <c r="B36" s="89" t="s">
        <v>219</v>
      </c>
      <c r="C36" s="63">
        <v>1308</v>
      </c>
      <c r="D36" s="63">
        <v>2134</v>
      </c>
      <c r="E36" s="63">
        <v>1571</v>
      </c>
      <c r="F36" s="63">
        <v>1848</v>
      </c>
    </row>
    <row r="37" spans="2:6" x14ac:dyDescent="0.25">
      <c r="B37" s="65" t="s">
        <v>220</v>
      </c>
      <c r="C37" s="64">
        <v>0</v>
      </c>
      <c r="D37" s="63">
        <v>62</v>
      </c>
      <c r="E37" s="63">
        <v>3</v>
      </c>
      <c r="F37" s="63">
        <v>5</v>
      </c>
    </row>
    <row r="38" spans="2:6" x14ac:dyDescent="0.25">
      <c r="B38" s="65"/>
      <c r="C38" s="64"/>
      <c r="D38" s="63"/>
      <c r="E38" s="63"/>
      <c r="F38" s="63"/>
    </row>
    <row r="39" spans="2:6" x14ac:dyDescent="0.25">
      <c r="B39" s="65" t="s">
        <v>221</v>
      </c>
      <c r="C39" s="63">
        <v>-4</v>
      </c>
      <c r="D39" s="63">
        <v>-22</v>
      </c>
      <c r="E39" s="63">
        <v>-56</v>
      </c>
      <c r="F39" s="63">
        <v>-56</v>
      </c>
    </row>
    <row r="40" spans="2:6" x14ac:dyDescent="0.25">
      <c r="B40" s="65" t="s">
        <v>222</v>
      </c>
      <c r="C40" s="63">
        <v>-2</v>
      </c>
      <c r="D40" s="63">
        <v>-1</v>
      </c>
      <c r="E40" s="64">
        <v>0</v>
      </c>
      <c r="F40" s="60"/>
    </row>
    <row r="41" spans="2:6" x14ac:dyDescent="0.25">
      <c r="B41" s="59" t="s">
        <v>223</v>
      </c>
      <c r="C41" s="88">
        <v>-130</v>
      </c>
      <c r="D41" s="88">
        <v>441</v>
      </c>
      <c r="E41" s="88">
        <v>-314</v>
      </c>
      <c r="F41" s="88">
        <v>271</v>
      </c>
    </row>
    <row r="42" spans="2:6" x14ac:dyDescent="0.25">
      <c r="B42" s="59"/>
      <c r="C42" s="63"/>
      <c r="D42" s="63"/>
      <c r="E42" s="63"/>
      <c r="F42" s="112"/>
    </row>
    <row r="43" spans="2:6" x14ac:dyDescent="0.25">
      <c r="B43" s="59" t="s">
        <v>224</v>
      </c>
      <c r="C43" s="59"/>
      <c r="D43" s="59"/>
      <c r="E43" s="59"/>
      <c r="F43" s="59"/>
    </row>
    <row r="44" spans="2:6" x14ac:dyDescent="0.25">
      <c r="B44" s="65" t="s">
        <v>225</v>
      </c>
      <c r="C44" s="64">
        <v>0</v>
      </c>
      <c r="D44" s="63">
        <v>-937</v>
      </c>
      <c r="E44" s="63">
        <v>-280</v>
      </c>
      <c r="F44" s="63">
        <v>-510</v>
      </c>
    </row>
    <row r="45" spans="2:6" x14ac:dyDescent="0.25">
      <c r="B45" s="65" t="s">
        <v>226</v>
      </c>
      <c r="C45" s="64">
        <v>0</v>
      </c>
      <c r="D45" s="64">
        <v>0</v>
      </c>
      <c r="E45" s="63">
        <v>-148</v>
      </c>
      <c r="F45" s="63">
        <v>-192</v>
      </c>
    </row>
    <row r="46" spans="2:6" x14ac:dyDescent="0.25">
      <c r="B46" s="65" t="s">
        <v>227</v>
      </c>
      <c r="C46" s="64">
        <v>0</v>
      </c>
      <c r="D46" s="63">
        <v>-7</v>
      </c>
      <c r="E46" s="64">
        <v>0</v>
      </c>
      <c r="F46" s="63">
        <v>2</v>
      </c>
    </row>
    <row r="47" spans="2:6" x14ac:dyDescent="0.25">
      <c r="B47" s="65" t="s">
        <v>337</v>
      </c>
      <c r="F47">
        <v>-73</v>
      </c>
    </row>
    <row r="48" spans="2:6" x14ac:dyDescent="0.25">
      <c r="B48" s="65" t="s">
        <v>228</v>
      </c>
      <c r="C48" s="63">
        <v>17</v>
      </c>
      <c r="D48" s="63">
        <v>15</v>
      </c>
      <c r="E48" s="63">
        <v>27</v>
      </c>
      <c r="F48" s="63">
        <v>12</v>
      </c>
    </row>
    <row r="49" spans="2:6" x14ac:dyDescent="0.25">
      <c r="B49" s="65" t="s">
        <v>229</v>
      </c>
      <c r="C49" s="60"/>
      <c r="D49" s="60"/>
      <c r="E49" s="60"/>
      <c r="F49" s="60"/>
    </row>
    <row r="50" spans="2:6" x14ac:dyDescent="0.25">
      <c r="B50" s="89" t="s">
        <v>230</v>
      </c>
      <c r="C50" s="63">
        <v>31</v>
      </c>
      <c r="D50" s="63">
        <v>46</v>
      </c>
      <c r="E50" s="63">
        <v>42</v>
      </c>
      <c r="F50" s="63">
        <v>41</v>
      </c>
    </row>
    <row r="51" spans="2:6" x14ac:dyDescent="0.25">
      <c r="B51" s="59" t="s">
        <v>231</v>
      </c>
      <c r="C51" s="88">
        <v>48</v>
      </c>
      <c r="D51" s="88">
        <v>-883</v>
      </c>
      <c r="E51" s="88">
        <v>-359</v>
      </c>
      <c r="F51" s="88">
        <v>-720</v>
      </c>
    </row>
    <row r="52" spans="2:6" x14ac:dyDescent="0.25">
      <c r="B52" s="59"/>
      <c r="C52" s="63"/>
      <c r="D52" s="63"/>
      <c r="E52" s="63"/>
      <c r="F52" s="60"/>
    </row>
    <row r="53" spans="2:6" x14ac:dyDescent="0.25">
      <c r="B53" s="59" t="s">
        <v>232</v>
      </c>
      <c r="C53" s="60"/>
      <c r="D53" s="60"/>
      <c r="E53" s="60"/>
      <c r="F53" s="60"/>
    </row>
    <row r="54" spans="2:6" x14ac:dyDescent="0.25">
      <c r="B54" s="59" t="s">
        <v>233</v>
      </c>
      <c r="C54" s="63">
        <v>-6</v>
      </c>
      <c r="D54" s="63">
        <v>1</v>
      </c>
      <c r="E54" s="63">
        <v>-4</v>
      </c>
      <c r="F54" s="63">
        <v>14</v>
      </c>
    </row>
    <row r="55" spans="2:6" x14ac:dyDescent="0.25">
      <c r="B55" s="59"/>
      <c r="C55" s="63"/>
      <c r="D55" s="63"/>
      <c r="E55" s="63"/>
      <c r="F55" s="60"/>
    </row>
    <row r="56" spans="2:6" x14ac:dyDescent="0.25">
      <c r="B56" s="59" t="s">
        <v>234</v>
      </c>
      <c r="C56" s="60"/>
      <c r="D56" s="60"/>
      <c r="E56" s="60"/>
      <c r="F56" s="60"/>
    </row>
    <row r="57" spans="2:6" x14ac:dyDescent="0.25">
      <c r="B57" s="59" t="s">
        <v>235</v>
      </c>
      <c r="C57" s="63">
        <v>-2</v>
      </c>
      <c r="D57" s="63">
        <v>71</v>
      </c>
      <c r="E57" s="63">
        <v>73</v>
      </c>
      <c r="F57" s="63">
        <v>449</v>
      </c>
    </row>
    <row r="58" spans="2:6" x14ac:dyDescent="0.25">
      <c r="B58" s="59" t="s">
        <v>236</v>
      </c>
      <c r="C58" s="63">
        <v>273</v>
      </c>
      <c r="D58" s="63">
        <v>271</v>
      </c>
      <c r="E58" s="63">
        <v>342</v>
      </c>
      <c r="F58" s="63">
        <v>415</v>
      </c>
    </row>
    <row r="59" spans="2:6" x14ac:dyDescent="0.25">
      <c r="B59" s="59" t="s">
        <v>237</v>
      </c>
      <c r="C59" s="61">
        <v>271</v>
      </c>
      <c r="D59" s="61">
        <v>342</v>
      </c>
      <c r="E59" s="61">
        <v>415</v>
      </c>
      <c r="F59" s="61">
        <v>864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ACD4-13E1-49AF-94B5-6DB55233873E}">
  <sheetPr codeName="Sheet15">
    <tabColor theme="9" tint="0.79998168889431442"/>
    <pageSetUpPr autoPageBreaks="0"/>
  </sheetPr>
  <dimension ref="A1:L9"/>
  <sheetViews>
    <sheetView showGridLines="0" zoomScale="80" zoomScaleNormal="80" workbookViewId="0">
      <selection activeCell="C2" sqref="C2"/>
    </sheetView>
  </sheetViews>
  <sheetFormatPr defaultRowHeight="15" x14ac:dyDescent="0.25"/>
  <cols>
    <col min="2" max="2" width="30.5703125" bestFit="1" customWidth="1"/>
    <col min="3" max="12" width="10.7109375" customWidth="1"/>
  </cols>
  <sheetData>
    <row r="1" spans="1:12" x14ac:dyDescent="0.25">
      <c r="A1" s="66" t="s">
        <v>154</v>
      </c>
      <c r="B1" s="60"/>
      <c r="C1" s="60"/>
      <c r="D1" s="87" t="s">
        <v>153</v>
      </c>
      <c r="E1" s="60"/>
      <c r="F1" s="60"/>
      <c r="G1" s="60"/>
    </row>
    <row r="2" spans="1:12" x14ac:dyDescent="0.25">
      <c r="B2" s="93" t="s">
        <v>270</v>
      </c>
      <c r="C2" s="93">
        <v>2023</v>
      </c>
      <c r="D2" s="93">
        <v>2024</v>
      </c>
      <c r="E2" s="94">
        <v>2025</v>
      </c>
      <c r="F2" s="94">
        <v>2026</v>
      </c>
      <c r="G2" s="93">
        <v>2027</v>
      </c>
      <c r="H2" s="93">
        <v>2028</v>
      </c>
      <c r="I2" s="93">
        <v>2029</v>
      </c>
      <c r="J2" s="93">
        <v>2030</v>
      </c>
      <c r="K2" s="93">
        <v>2031</v>
      </c>
      <c r="L2" s="93" t="s">
        <v>113</v>
      </c>
    </row>
    <row r="3" spans="1:12" x14ac:dyDescent="0.25">
      <c r="B3" s="105" t="s">
        <v>274</v>
      </c>
      <c r="C3" s="106">
        <v>90.221000000000004</v>
      </c>
      <c r="D3" s="11">
        <v>79.864999999999995</v>
      </c>
      <c r="E3" s="11">
        <v>67.183000000000007</v>
      </c>
      <c r="F3" s="103">
        <v>59.527999999999999</v>
      </c>
      <c r="G3" s="103">
        <v>18.788</v>
      </c>
      <c r="H3" s="103">
        <v>1.383</v>
      </c>
      <c r="J3" s="66"/>
      <c r="K3" s="66"/>
      <c r="L3" s="108">
        <f>SUM(C3:K3)</f>
        <v>316.96800000000002</v>
      </c>
    </row>
    <row r="4" spans="1:12" x14ac:dyDescent="0.25">
      <c r="B4" s="104">
        <v>44957</v>
      </c>
      <c r="C4" s="104"/>
      <c r="D4" s="59">
        <v>84</v>
      </c>
      <c r="E4">
        <v>72</v>
      </c>
      <c r="F4">
        <v>63</v>
      </c>
      <c r="G4" s="59">
        <v>20</v>
      </c>
      <c r="H4" s="59">
        <v>2</v>
      </c>
      <c r="I4" s="66"/>
      <c r="J4" s="66"/>
      <c r="K4" s="66"/>
      <c r="L4" s="97">
        <f>SUM(E4:H4)</f>
        <v>157</v>
      </c>
    </row>
    <row r="5" spans="1:12" x14ac:dyDescent="0.25">
      <c r="B5" s="104">
        <v>45322</v>
      </c>
      <c r="C5" s="104"/>
      <c r="D5" s="2"/>
      <c r="E5" s="11">
        <v>79</v>
      </c>
      <c r="F5" s="11">
        <v>72</v>
      </c>
      <c r="G5" s="11">
        <v>27</v>
      </c>
      <c r="H5" s="11">
        <v>4</v>
      </c>
      <c r="I5" s="11"/>
      <c r="J5" s="11"/>
      <c r="K5" s="11"/>
      <c r="L5" s="97">
        <f>SUM(E5:H5)</f>
        <v>182</v>
      </c>
    </row>
    <row r="6" spans="1:12" x14ac:dyDescent="0.25">
      <c r="B6" s="101">
        <v>45688</v>
      </c>
      <c r="C6" s="95"/>
      <c r="D6" s="2"/>
      <c r="E6" s="11"/>
      <c r="F6" s="11">
        <v>81</v>
      </c>
      <c r="G6" s="11">
        <v>36</v>
      </c>
      <c r="H6" s="11">
        <v>13</v>
      </c>
      <c r="I6" s="11">
        <v>6</v>
      </c>
      <c r="J6" s="11">
        <v>1</v>
      </c>
      <c r="K6" s="11">
        <v>1</v>
      </c>
      <c r="L6" s="97">
        <f>SUM(F6:K6)</f>
        <v>138</v>
      </c>
    </row>
    <row r="7" spans="1:12" x14ac:dyDescent="0.25">
      <c r="B7" s="102">
        <v>46053</v>
      </c>
      <c r="C7" s="95"/>
      <c r="D7" s="2"/>
      <c r="E7" s="11"/>
      <c r="F7" s="11"/>
      <c r="G7" s="11">
        <v>45</v>
      </c>
      <c r="H7" s="11">
        <v>24</v>
      </c>
      <c r="I7" s="11">
        <v>17</v>
      </c>
      <c r="J7" s="11">
        <v>4</v>
      </c>
      <c r="K7" s="11">
        <v>1</v>
      </c>
      <c r="L7" s="98">
        <v>91</v>
      </c>
    </row>
    <row r="8" spans="1:12" x14ac:dyDescent="0.25">
      <c r="B8" s="99" t="s">
        <v>271</v>
      </c>
      <c r="C8" s="107" cm="1">
        <f t="array" ref="C8">INDEX(_xlfn._xlws.SORT(C3:C7,,-1,),1)</f>
        <v>90.221000000000004</v>
      </c>
      <c r="D8" s="107" cm="1">
        <f t="array" ref="D8">INDEX(_xlfn._xlws.SORT(D3:D7,,-1,),1)</f>
        <v>84</v>
      </c>
      <c r="E8" s="107" cm="1">
        <f t="array" ref="E8">INDEX(_xlfn._xlws.SORT(E3:E7,,-1,),1)</f>
        <v>79</v>
      </c>
      <c r="F8" s="107" cm="1">
        <f t="array" ref="F8">INDEX(_xlfn._xlws.SORT(F3:F7,,-1,),1)</f>
        <v>81</v>
      </c>
      <c r="G8" s="107" cm="1">
        <f t="array" ref="G8">INDEX(_xlfn._xlws.SORT(G3:G7,,-1,),1)</f>
        <v>45</v>
      </c>
      <c r="H8" s="107" cm="1">
        <f t="array" ref="H8">INDEX(_xlfn._xlws.SORT(H3:H7,,-1,),1)</f>
        <v>24</v>
      </c>
      <c r="I8" s="107" cm="1">
        <f t="array" ref="I8">INDEX(_xlfn._xlws.SORT(I3:I7,,-1,),1)</f>
        <v>17</v>
      </c>
      <c r="J8" s="107" cm="1">
        <f t="array" ref="J8">INDEX(_xlfn._xlws.SORT(J3:J7,,-1,),1)</f>
        <v>4</v>
      </c>
      <c r="K8" s="107" cm="1">
        <f t="array" ref="K8">INDEX(_xlfn._xlws.SORT(K3:K7,,-1,),1)</f>
        <v>1</v>
      </c>
      <c r="L8" s="100"/>
    </row>
    <row r="9" spans="1:12" x14ac:dyDescent="0.25">
      <c r="B9" s="2" t="s">
        <v>273</v>
      </c>
      <c r="C9" s="2"/>
      <c r="E9">
        <f>E8-D8</f>
        <v>-5</v>
      </c>
      <c r="F9">
        <f t="shared" ref="F9:K9" si="0">F8-E8</f>
        <v>2</v>
      </c>
      <c r="G9">
        <f t="shared" si="0"/>
        <v>-36</v>
      </c>
      <c r="H9">
        <f t="shared" si="0"/>
        <v>-21</v>
      </c>
      <c r="I9">
        <f t="shared" si="0"/>
        <v>-7</v>
      </c>
      <c r="J9">
        <f t="shared" si="0"/>
        <v>-13</v>
      </c>
      <c r="K9">
        <f t="shared" si="0"/>
        <v>-3</v>
      </c>
    </row>
  </sheetData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317BB-A98D-46FB-A8BC-9FC2D3AC7C30}">
  <sheetPr codeName="Sheet16">
    <tabColor theme="9" tint="0.79998168889431442"/>
    <pageSetUpPr autoPageBreaks="0"/>
  </sheetPr>
  <dimension ref="B2:K40"/>
  <sheetViews>
    <sheetView zoomScale="70" zoomScaleNormal="70" workbookViewId="0"/>
  </sheetViews>
  <sheetFormatPr defaultRowHeight="15" x14ac:dyDescent="0.25"/>
  <cols>
    <col min="1" max="1" width="2.7109375" customWidth="1"/>
    <col min="2" max="2" width="45.5703125" bestFit="1" customWidth="1"/>
    <col min="3" max="3" width="21.5703125" bestFit="1" customWidth="1"/>
    <col min="4" max="4" width="21.42578125" bestFit="1" customWidth="1"/>
    <col min="5" max="5" width="7.42578125" bestFit="1" customWidth="1"/>
    <col min="6" max="6" width="16" bestFit="1" customWidth="1"/>
    <col min="7" max="7" width="21.5703125" bestFit="1" customWidth="1"/>
    <col min="8" max="8" width="12.42578125" bestFit="1" customWidth="1"/>
    <col min="9" max="9" width="17.7109375" bestFit="1" customWidth="1"/>
    <col min="10" max="10" width="8.5703125" bestFit="1" customWidth="1"/>
    <col min="12" max="12" width="29.42578125" bestFit="1" customWidth="1"/>
  </cols>
  <sheetData>
    <row r="2" spans="2:10" x14ac:dyDescent="0.25">
      <c r="B2" s="59" t="s">
        <v>154</v>
      </c>
      <c r="C2" s="59" t="s">
        <v>238</v>
      </c>
      <c r="D2" s="59" t="s">
        <v>239</v>
      </c>
      <c r="E2" s="59" t="s">
        <v>154</v>
      </c>
      <c r="F2" s="59" t="s">
        <v>154</v>
      </c>
      <c r="G2" s="59" t="s">
        <v>240</v>
      </c>
      <c r="H2" s="60"/>
      <c r="I2" s="60"/>
      <c r="J2" s="60"/>
    </row>
    <row r="3" spans="2:10" x14ac:dyDescent="0.25">
      <c r="B3" s="59" t="s">
        <v>154</v>
      </c>
      <c r="C3" s="59" t="s">
        <v>154</v>
      </c>
      <c r="D3" s="59" t="s">
        <v>154</v>
      </c>
      <c r="E3" s="59" t="s">
        <v>154</v>
      </c>
      <c r="F3" s="59" t="s">
        <v>241</v>
      </c>
      <c r="G3" s="59" t="s">
        <v>242</v>
      </c>
      <c r="H3" s="59" t="s">
        <v>243</v>
      </c>
      <c r="I3" s="59" t="s">
        <v>244</v>
      </c>
      <c r="J3" s="60"/>
    </row>
    <row r="4" spans="2:10" x14ac:dyDescent="0.25">
      <c r="B4" s="59" t="s">
        <v>154</v>
      </c>
      <c r="C4" s="59" t="s">
        <v>245</v>
      </c>
      <c r="D4" s="59" t="s">
        <v>246</v>
      </c>
      <c r="E4" s="59" t="s">
        <v>245</v>
      </c>
      <c r="F4" s="59" t="s">
        <v>247</v>
      </c>
      <c r="G4" s="59" t="s">
        <v>248</v>
      </c>
      <c r="H4" s="59" t="s">
        <v>249</v>
      </c>
      <c r="I4" s="59" t="s">
        <v>250</v>
      </c>
      <c r="J4" s="59" t="s">
        <v>246</v>
      </c>
    </row>
    <row r="5" spans="2:10" x14ac:dyDescent="0.25">
      <c r="B5" s="60"/>
      <c r="C5" s="60"/>
      <c r="D5" s="60"/>
      <c r="E5" s="60"/>
      <c r="F5" s="60"/>
      <c r="G5" s="60"/>
      <c r="H5" s="60"/>
      <c r="I5" s="60"/>
      <c r="J5" s="60"/>
    </row>
    <row r="6" spans="2:10" x14ac:dyDescent="0.25">
      <c r="B6" s="66" t="s">
        <v>251</v>
      </c>
      <c r="C6" s="88">
        <v>154009</v>
      </c>
      <c r="D6" s="91">
        <v>0</v>
      </c>
      <c r="E6" s="88">
        <v>7300</v>
      </c>
      <c r="F6" s="91">
        <v>0</v>
      </c>
      <c r="G6" s="67">
        <v>7974</v>
      </c>
      <c r="H6" s="67">
        <v>-33</v>
      </c>
      <c r="I6" s="67">
        <v>-2475</v>
      </c>
      <c r="J6" s="67">
        <v>5466</v>
      </c>
    </row>
    <row r="7" spans="2:10" x14ac:dyDescent="0.25">
      <c r="B7" s="65" t="s">
        <v>252</v>
      </c>
      <c r="C7" s="63">
        <v>5850</v>
      </c>
      <c r="D7" s="64">
        <v>0</v>
      </c>
      <c r="E7" s="64">
        <v>0</v>
      </c>
      <c r="F7" s="64">
        <v>0</v>
      </c>
      <c r="G7" s="63">
        <v>67</v>
      </c>
      <c r="H7" s="64">
        <v>0</v>
      </c>
      <c r="I7" s="64">
        <v>0</v>
      </c>
      <c r="J7" s="63">
        <v>67</v>
      </c>
    </row>
    <row r="8" spans="2:10" x14ac:dyDescent="0.25">
      <c r="B8" s="65" t="s">
        <v>253</v>
      </c>
      <c r="C8" s="60"/>
      <c r="D8" s="60"/>
      <c r="E8" s="60"/>
      <c r="F8" s="60"/>
      <c r="G8" s="60"/>
      <c r="H8" s="60"/>
      <c r="I8" s="60"/>
      <c r="J8" s="60"/>
    </row>
    <row r="9" spans="2:10" x14ac:dyDescent="0.25">
      <c r="B9" s="89" t="s">
        <v>254</v>
      </c>
      <c r="C9" s="63">
        <v>9</v>
      </c>
      <c r="D9" s="64">
        <v>0</v>
      </c>
      <c r="E9" s="63">
        <v>-9</v>
      </c>
      <c r="F9" s="64">
        <v>0</v>
      </c>
      <c r="G9" s="64">
        <v>0</v>
      </c>
      <c r="H9" s="64">
        <v>0</v>
      </c>
      <c r="I9" s="64">
        <v>0</v>
      </c>
      <c r="J9" s="64">
        <v>0</v>
      </c>
    </row>
    <row r="10" spans="2:10" x14ac:dyDescent="0.25">
      <c r="B10" s="65" t="s">
        <v>255</v>
      </c>
      <c r="C10" s="60"/>
      <c r="D10" s="60"/>
      <c r="E10" s="60"/>
      <c r="F10" s="60"/>
      <c r="G10" s="60"/>
      <c r="H10" s="60"/>
      <c r="I10" s="60"/>
      <c r="J10" s="60"/>
    </row>
    <row r="11" spans="2:10" x14ac:dyDescent="0.25">
      <c r="B11" s="89" t="s">
        <v>256</v>
      </c>
      <c r="C11" s="63">
        <v>-33</v>
      </c>
      <c r="D11" s="64">
        <v>0</v>
      </c>
      <c r="E11" s="64">
        <v>0</v>
      </c>
      <c r="F11" s="64">
        <v>0</v>
      </c>
      <c r="G11" s="64">
        <v>0</v>
      </c>
      <c r="H11" s="64">
        <v>0</v>
      </c>
      <c r="I11" s="64">
        <v>0</v>
      </c>
      <c r="J11" s="64">
        <v>0</v>
      </c>
    </row>
    <row r="12" spans="2:10" x14ac:dyDescent="0.25">
      <c r="B12" s="65" t="s">
        <v>202</v>
      </c>
      <c r="C12" s="64">
        <v>0</v>
      </c>
      <c r="D12" s="64">
        <v>0</v>
      </c>
      <c r="E12" s="64">
        <v>0</v>
      </c>
      <c r="F12" s="64">
        <v>0</v>
      </c>
      <c r="G12" s="63">
        <v>690</v>
      </c>
      <c r="H12" s="64">
        <v>0</v>
      </c>
      <c r="I12" s="64">
        <v>0</v>
      </c>
      <c r="J12" s="63">
        <v>690</v>
      </c>
    </row>
    <row r="13" spans="2:10" x14ac:dyDescent="0.25">
      <c r="B13" s="65" t="s">
        <v>257</v>
      </c>
      <c r="C13" s="64">
        <v>0</v>
      </c>
      <c r="D13" s="64">
        <v>0</v>
      </c>
      <c r="E13" s="64">
        <v>0</v>
      </c>
      <c r="F13" s="64">
        <v>0</v>
      </c>
      <c r="G13" s="63">
        <v>-7</v>
      </c>
      <c r="H13" s="64">
        <v>0</v>
      </c>
      <c r="I13" s="64">
        <v>0</v>
      </c>
      <c r="J13" s="63">
        <v>-7</v>
      </c>
    </row>
    <row r="14" spans="2:10" x14ac:dyDescent="0.25">
      <c r="B14" s="65" t="s">
        <v>258</v>
      </c>
      <c r="C14" s="64">
        <v>0</v>
      </c>
      <c r="D14" s="64">
        <v>0</v>
      </c>
      <c r="E14" s="64">
        <v>0</v>
      </c>
      <c r="F14" s="64">
        <v>0</v>
      </c>
      <c r="G14" s="64">
        <v>0</v>
      </c>
      <c r="H14" s="63">
        <v>27</v>
      </c>
      <c r="I14" s="64">
        <v>0</v>
      </c>
      <c r="J14" s="63">
        <v>27</v>
      </c>
    </row>
    <row r="15" spans="2:10" x14ac:dyDescent="0.25">
      <c r="B15" s="65" t="s">
        <v>259</v>
      </c>
      <c r="C15" s="64">
        <v>0</v>
      </c>
      <c r="D15" s="64">
        <v>0</v>
      </c>
      <c r="E15" s="64">
        <v>0</v>
      </c>
      <c r="F15" s="64">
        <v>0</v>
      </c>
      <c r="G15" s="64">
        <v>0</v>
      </c>
      <c r="H15" s="64">
        <v>0</v>
      </c>
      <c r="I15" s="63">
        <v>-355</v>
      </c>
      <c r="J15" s="63">
        <v>-355</v>
      </c>
    </row>
    <row r="16" spans="2:10" x14ac:dyDescent="0.25">
      <c r="B16" s="59"/>
      <c r="C16" s="64"/>
      <c r="D16" s="64"/>
      <c r="E16" s="64"/>
      <c r="F16" s="64"/>
      <c r="G16" s="64"/>
      <c r="H16" s="64"/>
      <c r="I16" s="63"/>
      <c r="J16" s="63"/>
    </row>
    <row r="17" spans="2:11" x14ac:dyDescent="0.25">
      <c r="B17" s="66" t="s">
        <v>260</v>
      </c>
      <c r="C17" s="88">
        <v>159835</v>
      </c>
      <c r="D17" s="91">
        <v>0</v>
      </c>
      <c r="E17" s="88">
        <v>7291</v>
      </c>
      <c r="F17" s="91">
        <v>0</v>
      </c>
      <c r="G17" s="67">
        <v>8724</v>
      </c>
      <c r="H17" s="67">
        <v>-6</v>
      </c>
      <c r="I17" s="67">
        <v>-2830</v>
      </c>
      <c r="J17" s="67">
        <v>5888</v>
      </c>
      <c r="K17" s="4"/>
    </row>
    <row r="18" spans="2:11" x14ac:dyDescent="0.25">
      <c r="B18" s="65" t="s">
        <v>252</v>
      </c>
      <c r="C18" s="63">
        <v>5710</v>
      </c>
      <c r="D18" s="64">
        <v>0</v>
      </c>
      <c r="E18" s="63">
        <v>623</v>
      </c>
      <c r="F18" s="64">
        <v>0</v>
      </c>
      <c r="G18" s="63">
        <v>74</v>
      </c>
      <c r="H18" s="64">
        <v>0</v>
      </c>
      <c r="I18" s="64">
        <v>0</v>
      </c>
      <c r="J18" s="63">
        <v>74</v>
      </c>
    </row>
    <row r="19" spans="2:11" x14ac:dyDescent="0.25">
      <c r="B19" s="65" t="s">
        <v>261</v>
      </c>
      <c r="C19" s="60"/>
      <c r="D19" s="60"/>
      <c r="E19" s="60"/>
      <c r="F19" s="60"/>
      <c r="G19" s="60"/>
      <c r="H19" s="60"/>
      <c r="I19" s="60"/>
      <c r="J19" s="60"/>
    </row>
    <row r="20" spans="2:11" x14ac:dyDescent="0.25">
      <c r="B20" s="89" t="s">
        <v>262</v>
      </c>
      <c r="C20" s="64">
        <v>0</v>
      </c>
      <c r="D20" s="64">
        <v>0</v>
      </c>
      <c r="E20" s="64">
        <v>0</v>
      </c>
      <c r="F20" s="64">
        <v>0</v>
      </c>
      <c r="G20" s="63">
        <v>-149</v>
      </c>
      <c r="H20" s="64">
        <v>0</v>
      </c>
      <c r="I20" s="64">
        <v>0</v>
      </c>
      <c r="J20" s="63">
        <v>-149</v>
      </c>
    </row>
    <row r="21" spans="2:11" x14ac:dyDescent="0.25">
      <c r="B21" s="65" t="s">
        <v>253</v>
      </c>
      <c r="C21" s="60"/>
      <c r="D21" s="60"/>
      <c r="E21" s="60"/>
      <c r="F21" s="60"/>
      <c r="G21" s="60"/>
      <c r="H21" s="60"/>
      <c r="I21" s="60"/>
      <c r="J21" s="60"/>
    </row>
    <row r="22" spans="2:11" x14ac:dyDescent="0.25">
      <c r="B22" s="89" t="s">
        <v>254</v>
      </c>
      <c r="C22" s="63">
        <v>105</v>
      </c>
      <c r="D22" s="64">
        <v>0</v>
      </c>
      <c r="E22" s="63">
        <v>-105</v>
      </c>
      <c r="F22" s="64">
        <v>0</v>
      </c>
      <c r="G22" s="64">
        <v>0</v>
      </c>
      <c r="H22" s="64">
        <v>0</v>
      </c>
      <c r="I22" s="64">
        <v>0</v>
      </c>
      <c r="J22" s="64">
        <v>0</v>
      </c>
    </row>
    <row r="23" spans="2:11" x14ac:dyDescent="0.25">
      <c r="B23" s="65" t="s">
        <v>202</v>
      </c>
      <c r="C23" s="64">
        <v>0</v>
      </c>
      <c r="D23" s="64">
        <v>0</v>
      </c>
      <c r="E23" s="64">
        <v>0</v>
      </c>
      <c r="F23" s="64">
        <v>0</v>
      </c>
      <c r="G23" s="63">
        <v>570</v>
      </c>
      <c r="H23" s="64">
        <v>0</v>
      </c>
      <c r="I23" s="64">
        <v>0</v>
      </c>
      <c r="J23" s="63">
        <v>570</v>
      </c>
    </row>
    <row r="24" spans="2:11" x14ac:dyDescent="0.25">
      <c r="B24" s="65" t="s">
        <v>263</v>
      </c>
      <c r="C24" s="64">
        <v>0</v>
      </c>
      <c r="D24" s="64">
        <v>0</v>
      </c>
      <c r="E24" s="64">
        <v>0</v>
      </c>
      <c r="F24" s="64">
        <v>0</v>
      </c>
      <c r="G24" s="64">
        <v>0</v>
      </c>
      <c r="H24" s="63">
        <v>-6</v>
      </c>
      <c r="I24" s="64">
        <v>0</v>
      </c>
      <c r="J24" s="63">
        <v>-6</v>
      </c>
    </row>
    <row r="25" spans="2:11" x14ac:dyDescent="0.25">
      <c r="B25" s="65" t="s">
        <v>264</v>
      </c>
      <c r="C25" s="64">
        <v>0</v>
      </c>
      <c r="D25" s="64">
        <v>0</v>
      </c>
      <c r="E25" s="64">
        <v>0</v>
      </c>
      <c r="F25" s="64">
        <v>0</v>
      </c>
      <c r="G25" s="64">
        <v>0</v>
      </c>
      <c r="H25" s="64">
        <v>0</v>
      </c>
      <c r="I25" s="63">
        <v>28</v>
      </c>
      <c r="J25" s="63">
        <v>28</v>
      </c>
    </row>
    <row r="26" spans="2:11" x14ac:dyDescent="0.25">
      <c r="B26" s="59"/>
      <c r="C26" s="64"/>
      <c r="D26" s="64"/>
      <c r="E26" s="64"/>
      <c r="F26" s="64"/>
      <c r="G26" s="64"/>
      <c r="H26" s="64"/>
      <c r="I26" s="63"/>
      <c r="J26" s="63"/>
    </row>
    <row r="27" spans="2:11" x14ac:dyDescent="0.25">
      <c r="B27" s="66" t="s">
        <v>265</v>
      </c>
      <c r="C27" s="88">
        <v>165650</v>
      </c>
      <c r="D27" s="91">
        <v>0</v>
      </c>
      <c r="E27" s="88">
        <v>7809</v>
      </c>
      <c r="F27" s="91">
        <v>0</v>
      </c>
      <c r="G27" s="67">
        <v>9219</v>
      </c>
      <c r="H27" s="67">
        <v>-12</v>
      </c>
      <c r="I27" s="67">
        <v>-2802</v>
      </c>
      <c r="J27" s="67">
        <v>6405</v>
      </c>
      <c r="K27" s="4"/>
    </row>
    <row r="28" spans="2:11" x14ac:dyDescent="0.25">
      <c r="B28" s="65" t="s">
        <v>252</v>
      </c>
      <c r="C28" s="63">
        <v>4543</v>
      </c>
      <c r="D28" s="64">
        <v>0</v>
      </c>
      <c r="E28" s="63">
        <v>230</v>
      </c>
      <c r="F28" s="64">
        <v>0</v>
      </c>
      <c r="G28" s="63">
        <v>53</v>
      </c>
      <c r="H28" s="64">
        <v>0</v>
      </c>
      <c r="I28" s="64">
        <v>0</v>
      </c>
      <c r="J28" s="63">
        <v>53</v>
      </c>
    </row>
    <row r="29" spans="2:11" x14ac:dyDescent="0.25">
      <c r="B29" s="65" t="s">
        <v>261</v>
      </c>
      <c r="C29" s="60"/>
      <c r="D29" s="60"/>
      <c r="E29" s="60"/>
      <c r="F29" s="60"/>
      <c r="G29" s="60"/>
      <c r="H29" s="60"/>
      <c r="I29" s="60"/>
      <c r="J29" s="60"/>
    </row>
    <row r="30" spans="2:11" x14ac:dyDescent="0.25">
      <c r="B30" s="65" t="s">
        <v>262</v>
      </c>
      <c r="C30" s="64">
        <v>0</v>
      </c>
      <c r="D30" s="64">
        <v>0</v>
      </c>
      <c r="E30" s="64">
        <v>0</v>
      </c>
      <c r="F30" s="64">
        <v>0</v>
      </c>
      <c r="G30" s="63">
        <v>-191</v>
      </c>
      <c r="H30" s="64">
        <v>0</v>
      </c>
      <c r="I30" s="64">
        <v>0</v>
      </c>
      <c r="J30" s="63">
        <v>-191</v>
      </c>
    </row>
    <row r="31" spans="2:11" x14ac:dyDescent="0.25">
      <c r="B31" s="65" t="s">
        <v>266</v>
      </c>
      <c r="C31" s="63">
        <v>-875</v>
      </c>
      <c r="D31" s="64">
        <v>0</v>
      </c>
      <c r="E31" s="64">
        <v>0</v>
      </c>
      <c r="F31" s="64">
        <v>0</v>
      </c>
      <c r="G31" s="63">
        <v>-79</v>
      </c>
      <c r="H31" s="64">
        <v>0</v>
      </c>
      <c r="I31" s="64">
        <v>0</v>
      </c>
      <c r="J31" s="63">
        <v>-79</v>
      </c>
    </row>
    <row r="32" spans="2:11" x14ac:dyDescent="0.25">
      <c r="B32" s="65" t="s">
        <v>253</v>
      </c>
      <c r="C32" s="60"/>
      <c r="D32" s="60"/>
      <c r="E32" s="60"/>
      <c r="F32" s="60"/>
      <c r="G32" s="60"/>
      <c r="H32" s="60"/>
      <c r="I32" s="60"/>
      <c r="J32" s="60"/>
    </row>
    <row r="33" spans="2:11" x14ac:dyDescent="0.25">
      <c r="B33" s="89" t="s">
        <v>254</v>
      </c>
      <c r="C33" s="63">
        <v>352</v>
      </c>
      <c r="D33" s="64">
        <v>0</v>
      </c>
      <c r="E33" s="63">
        <v>-352</v>
      </c>
      <c r="F33" s="64">
        <v>0</v>
      </c>
      <c r="G33" s="64">
        <v>0</v>
      </c>
      <c r="H33" s="64">
        <v>0</v>
      </c>
      <c r="I33" s="64">
        <v>0</v>
      </c>
      <c r="J33" s="64">
        <v>0</v>
      </c>
    </row>
    <row r="34" spans="2:11" x14ac:dyDescent="0.25">
      <c r="B34" s="65" t="s">
        <v>267</v>
      </c>
      <c r="C34" s="60"/>
      <c r="D34" s="60"/>
      <c r="E34" s="60"/>
      <c r="F34" s="60"/>
      <c r="G34" s="60"/>
      <c r="H34" s="60"/>
      <c r="I34" s="60"/>
      <c r="J34" s="60"/>
    </row>
    <row r="35" spans="2:11" x14ac:dyDescent="0.25">
      <c r="B35" s="89" t="s">
        <v>268</v>
      </c>
      <c r="C35" s="64">
        <v>0</v>
      </c>
      <c r="D35" s="64">
        <v>0</v>
      </c>
      <c r="E35" s="64">
        <v>0</v>
      </c>
      <c r="F35" s="64">
        <v>0</v>
      </c>
      <c r="G35" s="63">
        <v>2</v>
      </c>
      <c r="H35" s="64">
        <v>0</v>
      </c>
      <c r="I35" s="64">
        <v>0</v>
      </c>
      <c r="J35" s="63">
        <v>2</v>
      </c>
    </row>
    <row r="36" spans="2:11" x14ac:dyDescent="0.25">
      <c r="B36" s="65" t="s">
        <v>202</v>
      </c>
      <c r="C36" s="64">
        <v>0</v>
      </c>
      <c r="D36" s="64">
        <v>0</v>
      </c>
      <c r="E36" s="64">
        <v>0</v>
      </c>
      <c r="F36" s="64">
        <v>0</v>
      </c>
      <c r="G36" s="63">
        <v>549</v>
      </c>
      <c r="H36" s="64">
        <v>0</v>
      </c>
      <c r="I36" s="64">
        <v>0</v>
      </c>
      <c r="J36" s="63">
        <v>549</v>
      </c>
      <c r="K36" s="92"/>
    </row>
    <row r="37" spans="2:11" x14ac:dyDescent="0.25">
      <c r="B37" s="65" t="s">
        <v>258</v>
      </c>
      <c r="C37" s="64">
        <v>0</v>
      </c>
      <c r="D37" s="64">
        <v>0</v>
      </c>
      <c r="E37" s="64">
        <v>0</v>
      </c>
      <c r="F37" s="64">
        <v>0</v>
      </c>
      <c r="G37" s="64">
        <v>0</v>
      </c>
      <c r="H37" s="63">
        <v>25</v>
      </c>
      <c r="I37" s="64">
        <v>0</v>
      </c>
      <c r="J37" s="63">
        <v>25</v>
      </c>
    </row>
    <row r="38" spans="2:11" x14ac:dyDescent="0.25">
      <c r="B38" s="65" t="s">
        <v>264</v>
      </c>
      <c r="C38" s="64">
        <v>0</v>
      </c>
      <c r="D38" s="64">
        <v>0</v>
      </c>
      <c r="E38" s="64">
        <v>0</v>
      </c>
      <c r="F38" s="64">
        <v>0</v>
      </c>
      <c r="G38" s="64">
        <v>0</v>
      </c>
      <c r="H38" s="64">
        <v>0</v>
      </c>
      <c r="I38" s="63">
        <v>235</v>
      </c>
      <c r="J38" s="63">
        <v>235</v>
      </c>
    </row>
    <row r="39" spans="2:11" x14ac:dyDescent="0.25">
      <c r="B39" s="65"/>
      <c r="C39" s="64"/>
      <c r="D39" s="64"/>
      <c r="E39" s="64"/>
      <c r="F39" s="64"/>
      <c r="G39" s="64"/>
      <c r="H39" s="64"/>
      <c r="I39" s="63"/>
      <c r="J39" s="63"/>
    </row>
    <row r="40" spans="2:11" x14ac:dyDescent="0.25">
      <c r="B40" s="66" t="s">
        <v>269</v>
      </c>
      <c r="C40" s="88">
        <v>169670</v>
      </c>
      <c r="D40" s="91">
        <v>0</v>
      </c>
      <c r="E40" s="88">
        <v>7687</v>
      </c>
      <c r="F40" s="91">
        <v>0</v>
      </c>
      <c r="G40" s="67">
        <v>9553</v>
      </c>
      <c r="H40" s="67">
        <v>13</v>
      </c>
      <c r="I40" s="67">
        <v>-2567</v>
      </c>
      <c r="J40" s="67">
        <v>6999</v>
      </c>
      <c r="K40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4</vt:i4>
      </vt:variant>
    </vt:vector>
  </HeadingPairs>
  <TitlesOfParts>
    <vt:vector size="29" baseType="lpstr">
      <vt:lpstr>Evaluation</vt:lpstr>
      <vt:lpstr>Summary</vt:lpstr>
      <vt:lpstr>Consolidated Model</vt:lpstr>
      <vt:lpstr>Consolidated Eval.</vt:lpstr>
      <vt:lpstr>Model Base</vt:lpstr>
      <vt:lpstr>Model Pess.</vt:lpstr>
      <vt:lpstr>Model Opt.</vt:lpstr>
      <vt:lpstr>Consolidated Output</vt:lpstr>
      <vt:lpstr>Eval Comps</vt:lpstr>
      <vt:lpstr>DCF</vt:lpstr>
      <vt:lpstr>EBITDA Sensitivity</vt:lpstr>
      <vt:lpstr>Scenario Outputs</vt:lpstr>
      <vt:lpstr>Scenario Drivers</vt:lpstr>
      <vt:lpstr>Income Statement Drivers</vt:lpstr>
      <vt:lpstr>Balance Sheet Drivers</vt:lpstr>
      <vt:lpstr>Cash Flow Drivers</vt:lpstr>
      <vt:lpstr>Condensed Stockholders Equity</vt:lpstr>
      <vt:lpstr>Options Proceeds Schedule</vt:lpstr>
      <vt:lpstr>Material Cash Requirements</vt:lpstr>
      <vt:lpstr>Lease Liability Schedule</vt:lpstr>
      <vt:lpstr>INCOME_STATEMENT</vt:lpstr>
      <vt:lpstr>BALANCE_SHEET</vt:lpstr>
      <vt:lpstr>CASH_FLOW</vt:lpstr>
      <vt:lpstr>AMORT_SCHED</vt:lpstr>
      <vt:lpstr>STOCKHOLDERS_EQUITY</vt:lpstr>
      <vt:lpstr>DCF_TGR</vt:lpstr>
      <vt:lpstr>DCF_WACC</vt:lpstr>
      <vt:lpstr>Scenarios</vt:lpstr>
      <vt:lpstr>SelectedScenario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Bowie</dc:creator>
  <cp:lastModifiedBy>Samuel Bowie</cp:lastModifiedBy>
  <dcterms:created xsi:type="dcterms:W3CDTF">2026-02-18T04:39:16Z</dcterms:created>
  <dcterms:modified xsi:type="dcterms:W3CDTF">2026-03-17T05:47:36Z</dcterms:modified>
</cp:coreProperties>
</file>